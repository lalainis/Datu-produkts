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selepov\Desktop\"/>
    </mc:Choice>
  </mc:AlternateContent>
  <xr:revisionPtr revIDLastSave="0" documentId="8_{7D40D315-9EDE-476E-B7B3-B3D4438D648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PS LV" sheetId="5" r:id="rId1"/>
  </sheets>
  <definedNames>
    <definedName name="_xlnm.Print_Area" localSheetId="0">'NPS LV'!$B$2:$Q$124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7" i="5" l="1"/>
  <c r="O107" i="5"/>
  <c r="N107" i="5"/>
  <c r="M107" i="5"/>
  <c r="L107" i="5"/>
  <c r="P106" i="5"/>
  <c r="O106" i="5"/>
  <c r="N106" i="5"/>
  <c r="M106" i="5"/>
  <c r="L106" i="5"/>
  <c r="P105" i="5"/>
  <c r="O105" i="5"/>
  <c r="N105" i="5"/>
  <c r="M105" i="5"/>
  <c r="L105" i="5"/>
  <c r="F105" i="5"/>
  <c r="I105" i="5"/>
  <c r="H107" i="5"/>
  <c r="J105" i="5"/>
  <c r="I107" i="5"/>
  <c r="G107" i="5"/>
  <c r="K107" i="5"/>
  <c r="J106" i="5"/>
  <c r="G105" i="5"/>
  <c r="H106" i="5"/>
  <c r="H105" i="5"/>
  <c r="F106" i="5"/>
  <c r="G106" i="5"/>
  <c r="F107" i="5"/>
  <c r="K105" i="5"/>
  <c r="I106" i="5"/>
  <c r="K106" i="5"/>
  <c r="J107" i="5"/>
  <c r="D106" i="5" l="1"/>
  <c r="E107" i="5"/>
  <c r="E105" i="5"/>
  <c r="C106" i="5"/>
  <c r="D105" i="5"/>
  <c r="C105" i="5"/>
  <c r="E106" i="5"/>
  <c r="D107" i="5"/>
  <c r="C107" i="5"/>
</calcChain>
</file>

<file path=xl/sharedStrings.xml><?xml version="1.0" encoding="utf-8"?>
<sst xmlns="http://schemas.openxmlformats.org/spreadsheetml/2006/main" count="103" uniqueCount="103">
  <si>
    <t>min</t>
  </si>
  <si>
    <t>max</t>
  </si>
  <si>
    <t>NordPool</t>
  </si>
  <si>
    <t>CET</t>
  </si>
  <si>
    <t>€ / MWh</t>
  </si>
  <si>
    <t>vid.cena</t>
  </si>
  <si>
    <t>NordPool Spot  :  LATVIA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</si>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</sst>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\-\ mmm\ \-\ yyyy"/>
    <numFmt numFmtId="165" formatCode="ddd"/>
  </numFmts>
  <fonts count="25" x14ac:knownFonts="1">
    <font>
      <sz val="10"/>
      <name val="Arial"/>
      <charset val="186"/>
    </font>
    <font>
      <sz val="10"/>
      <name val="Arial"/>
      <family val="2"/>
      <charset val="186"/>
    </font>
    <font>
      <sz val="10"/>
      <name val="Book Antiqua"/>
      <family val="1"/>
    </font>
    <font>
      <sz val="13"/>
      <name val="Book Antiqua"/>
      <family val="1"/>
    </font>
    <font>
      <sz val="10"/>
      <color indexed="10"/>
      <name val="Arial"/>
      <family val="2"/>
      <charset val="186"/>
    </font>
    <font>
      <sz val="10"/>
      <name val="Arial"/>
      <family val="2"/>
      <charset val="186"/>
    </font>
    <font>
      <b/>
      <sz val="12"/>
      <name val="Arial"/>
      <family val="2"/>
      <charset val="186"/>
    </font>
    <font>
      <b/>
      <sz val="8"/>
      <color rgb="FFFF0000"/>
      <name val="Arial"/>
      <family val="2"/>
      <charset val="186"/>
    </font>
    <font>
      <sz val="10"/>
      <color rgb="FF009900"/>
      <name val="Arial"/>
      <family val="2"/>
      <charset val="186"/>
    </font>
    <font>
      <b/>
      <sz val="9"/>
      <color theme="1"/>
      <name val="Arial"/>
      <family val="2"/>
      <charset val="186"/>
    </font>
    <font>
      <sz val="10"/>
      <color theme="0" tint="-0.499984740745262"/>
      <name val="Arial"/>
      <family val="2"/>
      <charset val="186"/>
    </font>
    <font>
      <b/>
      <sz val="9"/>
      <color theme="0" tint="-0.499984740745262"/>
      <name val="Arial"/>
      <family val="2"/>
      <charset val="186"/>
    </font>
    <font>
      <sz val="9"/>
      <color theme="0" tint="-0.499984740745262"/>
      <name val="Arial"/>
      <family val="2"/>
      <charset val="186"/>
    </font>
    <font>
      <b/>
      <sz val="8"/>
      <color theme="0" tint="-0.499984740745262"/>
      <name val="Arial"/>
      <family val="2"/>
      <charset val="186"/>
    </font>
    <font>
      <b/>
      <sz val="10"/>
      <color theme="1"/>
      <name val="Arial"/>
      <family val="2"/>
      <charset val="186"/>
    </font>
    <font>
      <b/>
      <sz val="8"/>
      <color theme="1"/>
      <name val="Arial"/>
      <family val="2"/>
      <charset val="186"/>
    </font>
    <font>
      <b/>
      <sz val="9"/>
      <color theme="9" tint="-0.249977111117893"/>
      <name val="Arial"/>
      <family val="2"/>
      <charset val="186"/>
    </font>
    <font>
      <b/>
      <sz val="8"/>
      <color theme="9" tint="-0.249977111117893"/>
      <name val="Arial"/>
      <family val="2"/>
      <charset val="186"/>
    </font>
    <font>
      <b/>
      <sz val="10"/>
      <color theme="0" tint="-0.499984740745262"/>
      <name val="Arial"/>
      <family val="2"/>
      <charset val="186"/>
    </font>
    <font>
      <b/>
      <sz val="9"/>
      <color rgb="FF0066FF"/>
      <name val="Arial"/>
      <family val="2"/>
      <charset val="186"/>
    </font>
    <font>
      <b/>
      <sz val="6"/>
      <color theme="1"/>
      <name val="Arial"/>
      <family val="2"/>
      <charset val="186"/>
    </font>
    <font>
      <b/>
      <sz val="8"/>
      <color rgb="FF0066FF"/>
      <name val="Arial"/>
      <family val="2"/>
      <charset val="186"/>
    </font>
    <font>
      <sz val="9"/>
      <color rgb="FF0066FF"/>
      <name val="Arial"/>
      <family val="2"/>
      <charset val="186"/>
    </font>
    <font>
      <sz val="10"/>
      <color rgb="FF0066FF"/>
      <name val="Arial"/>
      <family val="2"/>
      <charset val="186"/>
    </font>
    <font>
      <b/>
      <sz val="10"/>
      <color rgb="FF0066FF"/>
      <name val="Arial"/>
      <family val="2"/>
      <charset val="186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1F7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4.9989318521683403E-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4.9989318521683403E-2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53">
    <xf numFmtId="0" fontId="0" fillId="0" borderId="0" xfId="0"/>
    <xf numFmtId="14" fontId="12" fillId="2" borderId="0" xfId="0" applyNumberFormat="1" applyFont="1" applyFill="1" applyAlignment="1">
      <alignment horizontal="right" vertical="center" indent="1"/>
    </xf>
    <xf numFmtId="2" fontId="9" fillId="2" borderId="0" xfId="0" applyNumberFormat="1" applyFont="1" applyFill="1" applyAlignment="1">
      <alignment horizontal="right" vertical="center" indent="1"/>
    </xf>
    <xf numFmtId="0" fontId="0" fillId="2" borderId="0" xfId="0" applyFill="1" applyAlignment="1">
      <alignment horizontal="right" vertical="center" indent="1"/>
    </xf>
    <xf numFmtId="0" fontId="6" fillId="2" borderId="0" xfId="0" applyFont="1" applyFill="1" applyAlignment="1">
      <alignment horizontal="right" vertical="center" indent="1"/>
    </xf>
    <xf numFmtId="0" fontId="10" fillId="2" borderId="0" xfId="0" applyFont="1" applyFill="1" applyAlignment="1">
      <alignment horizontal="right" vertical="center" indent="1"/>
    </xf>
    <xf numFmtId="0" fontId="7" fillId="2" borderId="0" xfId="0" applyFont="1" applyFill="1" applyAlignment="1">
      <alignment horizontal="right" vertical="center" indent="1"/>
    </xf>
    <xf numFmtId="0" fontId="8" fillId="2" borderId="0" xfId="0" applyFont="1" applyFill="1" applyAlignment="1">
      <alignment horizontal="right" vertical="center" indent="1"/>
    </xf>
    <xf numFmtId="0" fontId="8" fillId="2" borderId="0" xfId="0" applyFont="1" applyFill="1" applyAlignment="1">
      <alignment horizontal="right" vertical="center" wrapText="1" indent="1"/>
    </xf>
    <xf numFmtId="0" fontId="0" fillId="2" borderId="0" xfId="0" applyFill="1" applyAlignment="1">
      <alignment horizontal="right" vertical="center" wrapText="1" indent="1"/>
    </xf>
    <xf numFmtId="2" fontId="0" fillId="2" borderId="0" xfId="0" applyNumberFormat="1" applyFill="1" applyAlignment="1">
      <alignment horizontal="right" vertical="center" indent="1"/>
    </xf>
    <xf numFmtId="14" fontId="0" fillId="2" borderId="0" xfId="0" applyNumberFormat="1" applyFill="1" applyAlignment="1">
      <alignment horizontal="right" vertical="center" indent="1"/>
    </xf>
    <xf numFmtId="0" fontId="1" fillId="2" borderId="0" xfId="0" applyFont="1" applyFill="1" applyAlignment="1">
      <alignment horizontal="right" vertical="center" indent="1"/>
    </xf>
    <xf numFmtId="0" fontId="4" fillId="2" borderId="0" xfId="0" applyFont="1" applyFill="1" applyAlignment="1">
      <alignment horizontal="right" vertical="center" indent="1"/>
    </xf>
    <xf numFmtId="0" fontId="5" fillId="2" borderId="0" xfId="0" applyFont="1" applyFill="1" applyAlignment="1">
      <alignment horizontal="right" vertical="center" indent="1"/>
    </xf>
    <xf numFmtId="2" fontId="5" fillId="2" borderId="0" xfId="0" applyNumberFormat="1" applyFont="1" applyFill="1" applyAlignment="1">
      <alignment horizontal="right" vertical="center" indent="1"/>
    </xf>
    <xf numFmtId="0" fontId="3" fillId="2" borderId="0" xfId="0" applyFont="1" applyFill="1" applyAlignment="1">
      <alignment horizontal="right" vertical="center" indent="1"/>
    </xf>
    <xf numFmtId="0" fontId="2" fillId="2" borderId="0" xfId="0" applyFont="1" applyFill="1" applyAlignment="1">
      <alignment horizontal="right" vertical="center" indent="1"/>
    </xf>
    <xf numFmtId="2" fontId="14" fillId="4" borderId="1" xfId="0" applyNumberFormat="1" applyFont="1" applyFill="1" applyBorder="1" applyAlignment="1">
      <alignment horizontal="right" vertical="center" wrapText="1" indent="1"/>
    </xf>
    <xf numFmtId="0" fontId="11" fillId="2" borderId="2" xfId="0" applyFont="1" applyFill="1" applyBorder="1" applyAlignment="1">
      <alignment horizontal="right" vertical="center" wrapText="1" indent="1"/>
    </xf>
    <xf numFmtId="0" fontId="9" fillId="2" borderId="2" xfId="0" applyFont="1" applyFill="1" applyBorder="1" applyAlignment="1">
      <alignment horizontal="right" vertical="center" wrapText="1" indent="1"/>
    </xf>
    <xf numFmtId="0" fontId="11" fillId="2" borderId="3" xfId="0" applyFont="1" applyFill="1" applyBorder="1" applyAlignment="1">
      <alignment horizontal="right" vertical="center" wrapText="1" indent="1"/>
    </xf>
    <xf numFmtId="164" fontId="15" fillId="2" borderId="3" xfId="0" applyNumberFormat="1" applyFont="1" applyFill="1" applyBorder="1" applyAlignment="1">
      <alignment horizontal="right" vertical="center" wrapText="1" indent="1"/>
    </xf>
    <xf numFmtId="0" fontId="16" fillId="2" borderId="4" xfId="0" applyFont="1" applyFill="1" applyBorder="1" applyAlignment="1">
      <alignment horizontal="right" vertical="center" wrapText="1" indent="1"/>
    </xf>
    <xf numFmtId="165" fontId="17" fillId="2" borderId="4" xfId="0" applyNumberFormat="1" applyFont="1" applyFill="1" applyBorder="1" applyAlignment="1">
      <alignment horizontal="right" vertical="center" wrapText="1" indent="1"/>
    </xf>
    <xf numFmtId="2" fontId="13" fillId="3" borderId="5" xfId="0" applyNumberFormat="1" applyFont="1" applyFill="1" applyBorder="1" applyAlignment="1">
      <alignment horizontal="right" vertical="center" indent="1"/>
    </xf>
    <xf numFmtId="2" fontId="13" fillId="2" borderId="5" xfId="0" applyNumberFormat="1" applyFont="1" applyFill="1" applyBorder="1" applyAlignment="1">
      <alignment horizontal="right" vertical="center" indent="1"/>
    </xf>
    <xf numFmtId="2" fontId="13" fillId="3" borderId="6" xfId="0" applyNumberFormat="1" applyFont="1" applyFill="1" applyBorder="1" applyAlignment="1">
      <alignment horizontal="right" vertical="center" indent="1"/>
    </xf>
    <xf numFmtId="2" fontId="13" fillId="2" borderId="7" xfId="0" applyNumberFormat="1" applyFont="1" applyFill="1" applyBorder="1" applyAlignment="1">
      <alignment horizontal="right" vertical="center" indent="1"/>
    </xf>
    <xf numFmtId="0" fontId="6" fillId="5" borderId="0" xfId="0" applyFont="1" applyFill="1" applyAlignment="1">
      <alignment horizontal="left" vertical="center" indent="1"/>
    </xf>
    <xf numFmtId="14" fontId="6" fillId="5" borderId="0" xfId="0" applyNumberFormat="1" applyFont="1" applyFill="1" applyAlignment="1">
      <alignment horizontal="right" vertical="center" indent="1"/>
    </xf>
    <xf numFmtId="2" fontId="13" fillId="2" borderId="1" xfId="0" applyNumberFormat="1" applyFont="1" applyFill="1" applyBorder="1" applyAlignment="1">
      <alignment horizontal="right" vertical="center" indent="1"/>
    </xf>
    <xf numFmtId="2" fontId="18" fillId="4" borderId="1" xfId="0" applyNumberFormat="1" applyFont="1" applyFill="1" applyBorder="1" applyAlignment="1">
      <alignment horizontal="right" vertical="center" indent="1"/>
    </xf>
    <xf numFmtId="2" fontId="15" fillId="2" borderId="1" xfId="0" applyNumberFormat="1" applyFont="1" applyFill="1" applyBorder="1" applyAlignment="1">
      <alignment horizontal="right" vertical="center" wrapText="1" indent="1"/>
    </xf>
    <xf numFmtId="0" fontId="19" fillId="2" borderId="2" xfId="0" applyFont="1" applyFill="1" applyBorder="1" applyAlignment="1">
      <alignment horizontal="right" vertical="center" wrapText="1" indent="1"/>
    </xf>
    <xf numFmtId="0" fontId="20" fillId="2" borderId="2" xfId="0" applyFont="1" applyFill="1" applyBorder="1" applyAlignment="1">
      <alignment horizontal="right" vertical="center" wrapText="1" indent="1"/>
    </xf>
    <xf numFmtId="164" fontId="21" fillId="2" borderId="3" xfId="0" applyNumberFormat="1" applyFont="1" applyFill="1" applyBorder="1" applyAlignment="1">
      <alignment horizontal="right" vertical="center" wrapText="1" indent="1"/>
    </xf>
    <xf numFmtId="2" fontId="22" fillId="3" borderId="6" xfId="0" applyNumberFormat="1" applyFont="1" applyFill="1" applyBorder="1" applyAlignment="1">
      <alignment horizontal="right" vertical="center" wrapText="1" indent="1"/>
    </xf>
    <xf numFmtId="2" fontId="22" fillId="2" borderId="5" xfId="0" applyNumberFormat="1" applyFont="1" applyFill="1" applyBorder="1" applyAlignment="1">
      <alignment horizontal="right" vertical="center" wrapText="1" indent="1"/>
    </xf>
    <xf numFmtId="2" fontId="22" fillId="3" borderId="5" xfId="0" applyNumberFormat="1" applyFont="1" applyFill="1" applyBorder="1" applyAlignment="1">
      <alignment horizontal="right" vertical="center" wrapText="1" indent="1"/>
    </xf>
    <xf numFmtId="2" fontId="22" fillId="2" borderId="7" xfId="0" applyNumberFormat="1" applyFont="1" applyFill="1" applyBorder="1" applyAlignment="1">
      <alignment horizontal="right" vertical="center" wrapText="1" indent="1"/>
    </xf>
    <xf numFmtId="0" fontId="23" fillId="2" borderId="0" xfId="0" applyFont="1" applyFill="1" applyAlignment="1">
      <alignment horizontal="right" vertical="center" indent="1"/>
    </xf>
    <xf numFmtId="0" fontId="14" fillId="2" borderId="0" xfId="0" applyFont="1" applyFill="1" applyAlignment="1">
      <alignment horizontal="right" vertical="center" indent="1"/>
    </xf>
    <xf numFmtId="2" fontId="24" fillId="4" borderId="1" xfId="0" applyNumberFormat="1" applyFont="1" applyFill="1" applyBorder="1" applyAlignment="1">
      <alignment horizontal="right" vertical="center" wrapText="1" indent="1"/>
    </xf>
    <xf numFmtId="2" fontId="21" fillId="2" borderId="1" xfId="0" applyNumberFormat="1" applyFont="1" applyFill="1" applyBorder="1" applyAlignment="1">
      <alignment horizontal="right" vertical="center" wrapText="1" indent="1"/>
    </xf>
    <xf numFmtId="2" fontId="9" fillId="3" borderId="6" xfId="0" applyNumberFormat="1" applyFont="1" applyFill="1" applyBorder="1" applyAlignment="1">
      <alignment horizontal="right" vertical="center" wrapText="1" indent="1"/>
    </xf>
    <xf numFmtId="2" fontId="9" fillId="2" borderId="5" xfId="0" applyNumberFormat="1" applyFont="1" applyFill="1" applyBorder="1" applyAlignment="1">
      <alignment horizontal="right" vertical="center" wrapText="1" indent="1"/>
    </xf>
    <xf numFmtId="2" fontId="9" fillId="3" borderId="5" xfId="0" applyNumberFormat="1" applyFont="1" applyFill="1" applyBorder="1" applyAlignment="1">
      <alignment horizontal="right" vertical="center" wrapText="1" indent="1"/>
    </xf>
    <xf numFmtId="2" fontId="9" fillId="2" borderId="7" xfId="0" applyNumberFormat="1" applyFont="1" applyFill="1" applyBorder="1" applyAlignment="1">
      <alignment horizontal="right" vertical="center" wrapText="1" indent="1"/>
    </xf>
    <xf numFmtId="2" fontId="22" fillId="3" borderId="6" xfId="0" applyNumberFormat="1" applyFont="1" applyFill="1" applyBorder="1" applyAlignment="1">
      <alignment horizontal="right" vertical="center" indent="1"/>
    </xf>
    <xf numFmtId="2" fontId="22" fillId="2" borderId="5" xfId="0" applyNumberFormat="1" applyFont="1" applyFill="1" applyBorder="1" applyAlignment="1">
      <alignment horizontal="right" vertical="center" indent="1"/>
    </xf>
    <xf numFmtId="2" fontId="22" fillId="3" borderId="5" xfId="0" applyNumberFormat="1" applyFont="1" applyFill="1" applyBorder="1" applyAlignment="1">
      <alignment horizontal="right" vertical="center" indent="1"/>
    </xf>
    <xf numFmtId="2" fontId="22" fillId="2" borderId="7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  <dxfs count="3">
    <dxf>
      <fill>
        <patternFill>
          <bgColor indexed="10"/>
        </patternFill>
      </fill>
    </dxf>
    <dxf>
      <font>
        <color rgb="FF0000FF"/>
      </font>
    </dxf>
    <dxf>
      <font>
        <color rgb="FF0000FF"/>
      </font>
    </dxf>
  </dxfs>
  <tableStyles count="0" defaultTableStyle="TableStyleMedium9" defaultPivotStyle="PivotStyleLight16"/>
  <colors>
    <mruColors>
      <color rgb="FF0066FF"/>
      <color rgb="FF66CCFF"/>
      <color rgb="FFE1F7FF"/>
      <color rgb="FF0000FF"/>
      <color rgb="FF008000"/>
      <color rgb="FF009900"/>
      <color rgb="FF00CC00"/>
      <color rgb="FF99FF66"/>
      <color rgb="FFCCFF99"/>
      <color rgb="FFEE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S128"/>
  <sheetViews>
    <sheetView tabSelected="1" zoomScaleNormal="100" workbookViewId="0">
      <selection activeCell="A6" sqref="A6"/>
    </sheetView>
  </sheetViews>
  <sheetFormatPr defaultColWidth="9.1796875" defaultRowHeight="12.5" x14ac:dyDescent="0.25"/>
  <cols>
    <col min="1" max="1" width="3.1796875" style="3" customWidth="1"/>
    <col min="2" max="2" width="14" style="3" customWidth="1"/>
    <col min="3" max="16" width="13.54296875" style="3" customWidth="1"/>
    <col min="17" max="17" width="1.453125" style="3" customWidth="1"/>
    <col min="18" max="16384" width="9.1796875" style="3"/>
  </cols>
  <sheetData>
    <row r="2" spans="1:19" ht="18.75" customHeight="1" x14ac:dyDescent="0.25">
      <c r="A2" s="4"/>
      <c r="B2" s="29" t="s">
        <v>6</v>
      </c>
      <c r="C2" s="30"/>
      <c r="D2" s="30"/>
      <c r="E2" s="30"/>
      <c r="F2" s="30" t="s">
        <v>4</v>
      </c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9" ht="7.5" customHeight="1" thickBot="1" x14ac:dyDescent="0.3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9" ht="11.25" customHeight="1" x14ac:dyDescent="0.25">
      <c r="A4" s="7"/>
      <c r="B4" s="19"/>
      <c r="C4" s="34"/>
      <c r="D4" s="34"/>
      <c r="E4" s="34"/>
      <c r="F4" s="35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1:19" ht="12.75" customHeight="1" x14ac:dyDescent="0.25">
      <c r="A5" s="7"/>
      <c r="B5" s="21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22"/>
    </row>
    <row r="6" spans="1:19" ht="12.75" customHeight="1" thickBot="1" x14ac:dyDescent="0.3">
      <c r="A6" s="8"/>
      <c r="B6" s="23" t="s">
        <v>3</v>
      </c>
      <c r="C6" s="24">
        <v>46234</v>
      </c>
      <c r="D6" s="24">
        <v>46235</v>
      </c>
      <c r="E6" s="24">
        <v>46236</v>
      </c>
      <c r="F6" s="24">
        <v>46237</v>
      </c>
      <c r="G6" s="24">
        <v>46238</v>
      </c>
      <c r="H6" s="24">
        <v>46239</v>
      </c>
      <c r="I6" s="24">
        <v>46240</v>
      </c>
      <c r="J6" s="24">
        <v>46241</v>
      </c>
      <c r="K6" s="24">
        <v>46242</v>
      </c>
      <c r="L6" s="24">
        <v>46243</v>
      </c>
      <c r="M6" s="24">
        <v>46244</v>
      </c>
      <c r="N6" s="24">
        <v>46245</v>
      </c>
      <c r="O6" s="24">
        <v>46246</v>
      </c>
      <c r="P6" s="24">
        <v>46247</v>
      </c>
    </row>
    <row r="7" spans="1:19" ht="7.5" customHeight="1" x14ac:dyDescent="0.25">
      <c r="A7" s="9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9" ht="11.25" customHeight="1" x14ac:dyDescent="0.25">
      <c r="A8" s="9"/>
      <c r="B8" s="27" t="s">
        <v>7</v>
      </c>
      <c r="C8" s="37">
        <v>5.6</v>
      </c>
      <c r="D8" s="37">
        <v>68</v>
      </c>
      <c r="E8" s="37">
        <v>145.43</v>
      </c>
      <c r="F8" s="49">
        <v>76.569999999999993</v>
      </c>
      <c r="G8" s="49">
        <v>155.59</v>
      </c>
      <c r="H8" s="49">
        <v>126.51</v>
      </c>
      <c r="I8" s="49">
        <v>40.880000000000003</v>
      </c>
      <c r="J8" s="37">
        <v>6.13</v>
      </c>
      <c r="K8" s="49">
        <v>21.08</v>
      </c>
      <c r="L8" s="37">
        <v>5.7</v>
      </c>
      <c r="M8" s="37">
        <v>4.28</v>
      </c>
      <c r="N8" s="37">
        <v>9.99</v>
      </c>
      <c r="O8" s="37">
        <v>164.49</v>
      </c>
      <c r="P8" s="45">
        <v>152.33000000000001</v>
      </c>
      <c r="Q8" s="10"/>
      <c r="S8" s="10"/>
    </row>
    <row r="9" spans="1:19" ht="11.25" customHeight="1" x14ac:dyDescent="0.25">
      <c r="A9" s="9"/>
      <c r="B9" s="26" t="s">
        <v>8</v>
      </c>
      <c r="C9" s="38">
        <v>5.35</v>
      </c>
      <c r="D9" s="38">
        <v>68</v>
      </c>
      <c r="E9" s="38">
        <v>109.88</v>
      </c>
      <c r="F9" s="50">
        <v>54</v>
      </c>
      <c r="G9" s="50">
        <v>138.32</v>
      </c>
      <c r="H9" s="50">
        <v>100.57</v>
      </c>
      <c r="I9" s="50">
        <v>20.52</v>
      </c>
      <c r="J9" s="38">
        <v>5.78</v>
      </c>
      <c r="K9" s="50">
        <v>8.2200000000000006</v>
      </c>
      <c r="L9" s="38">
        <v>5.39</v>
      </c>
      <c r="M9" s="38">
        <v>4.2699999999999996</v>
      </c>
      <c r="N9" s="38">
        <v>7.73</v>
      </c>
      <c r="O9" s="38">
        <v>159.6</v>
      </c>
      <c r="P9" s="46">
        <v>145.02000000000001</v>
      </c>
      <c r="Q9" s="10"/>
      <c r="S9" s="10"/>
    </row>
    <row r="10" spans="1:19" ht="11.25" customHeight="1" x14ac:dyDescent="0.25">
      <c r="A10" s="9"/>
      <c r="B10" s="25" t="s">
        <v>9</v>
      </c>
      <c r="C10" s="39">
        <v>5.09</v>
      </c>
      <c r="D10" s="39">
        <v>72.099999999999994</v>
      </c>
      <c r="E10" s="39">
        <v>92.68</v>
      </c>
      <c r="F10" s="51">
        <v>54</v>
      </c>
      <c r="G10" s="51">
        <v>112.78</v>
      </c>
      <c r="H10" s="51">
        <v>69.959999999999994</v>
      </c>
      <c r="I10" s="51">
        <v>20</v>
      </c>
      <c r="J10" s="39">
        <v>2.08</v>
      </c>
      <c r="K10" s="51">
        <v>6.16</v>
      </c>
      <c r="L10" s="39">
        <v>4.99</v>
      </c>
      <c r="M10" s="39">
        <v>4.0599999999999996</v>
      </c>
      <c r="N10" s="39">
        <v>6.17</v>
      </c>
      <c r="O10" s="39">
        <v>153.99</v>
      </c>
      <c r="P10" s="47">
        <v>145.38</v>
      </c>
      <c r="Q10" s="10"/>
      <c r="S10" s="10"/>
    </row>
    <row r="11" spans="1:19" ht="11.25" customHeight="1" x14ac:dyDescent="0.25">
      <c r="A11" s="9"/>
      <c r="B11" s="28" t="s">
        <v>10</v>
      </c>
      <c r="C11" s="40">
        <v>4.88</v>
      </c>
      <c r="D11" s="40">
        <v>31.9</v>
      </c>
      <c r="E11" s="40">
        <v>52</v>
      </c>
      <c r="F11" s="52">
        <v>40.840000000000003</v>
      </c>
      <c r="G11" s="52">
        <v>95.15</v>
      </c>
      <c r="H11" s="52">
        <v>42.97</v>
      </c>
      <c r="I11" s="52">
        <v>9.8800000000000008</v>
      </c>
      <c r="J11" s="40">
        <v>1.97</v>
      </c>
      <c r="K11" s="52">
        <v>5.78</v>
      </c>
      <c r="L11" s="40">
        <v>4.3099999999999996</v>
      </c>
      <c r="M11" s="40">
        <v>3.52</v>
      </c>
      <c r="N11" s="40">
        <v>6.13</v>
      </c>
      <c r="O11" s="40">
        <v>145</v>
      </c>
      <c r="P11" s="48">
        <v>139.4</v>
      </c>
      <c r="Q11" s="10"/>
      <c r="S11" s="10"/>
    </row>
    <row r="12" spans="1:19" ht="11.25" customHeight="1" x14ac:dyDescent="0.25">
      <c r="A12" s="9"/>
      <c r="B12" s="27" t="s">
        <v>11</v>
      </c>
      <c r="C12" s="37">
        <v>5.0199999999999996</v>
      </c>
      <c r="D12" s="37">
        <v>40.340000000000003</v>
      </c>
      <c r="E12" s="37">
        <v>77.47</v>
      </c>
      <c r="F12" s="49">
        <v>30.31</v>
      </c>
      <c r="G12" s="49">
        <v>88.15</v>
      </c>
      <c r="H12" s="49">
        <v>97.69</v>
      </c>
      <c r="I12" s="49">
        <v>15.81</v>
      </c>
      <c r="J12" s="37">
        <v>1.89</v>
      </c>
      <c r="K12" s="49">
        <v>5.77</v>
      </c>
      <c r="L12" s="37">
        <v>5.03</v>
      </c>
      <c r="M12" s="37">
        <v>3.87</v>
      </c>
      <c r="N12" s="37">
        <v>5.78</v>
      </c>
      <c r="O12" s="37">
        <v>154.41999999999999</v>
      </c>
      <c r="P12" s="45">
        <v>145.62</v>
      </c>
      <c r="Q12" s="10"/>
      <c r="S12" s="10"/>
    </row>
    <row r="13" spans="1:19" ht="11.25" customHeight="1" x14ac:dyDescent="0.25">
      <c r="A13" s="9"/>
      <c r="B13" s="26" t="s">
        <v>12</v>
      </c>
      <c r="C13" s="38">
        <v>4.96</v>
      </c>
      <c r="D13" s="38">
        <v>69.92</v>
      </c>
      <c r="E13" s="38">
        <v>51.01</v>
      </c>
      <c r="F13" s="50">
        <v>30.47</v>
      </c>
      <c r="G13" s="50">
        <v>78.11</v>
      </c>
      <c r="H13" s="50">
        <v>68</v>
      </c>
      <c r="I13" s="50">
        <v>12.09</v>
      </c>
      <c r="J13" s="38">
        <v>1.87</v>
      </c>
      <c r="K13" s="50">
        <v>4.49</v>
      </c>
      <c r="L13" s="38">
        <v>5.03</v>
      </c>
      <c r="M13" s="38">
        <v>3.59</v>
      </c>
      <c r="N13" s="38">
        <v>4.03</v>
      </c>
      <c r="O13" s="38">
        <v>149.9</v>
      </c>
      <c r="P13" s="46">
        <v>141.08000000000001</v>
      </c>
      <c r="Q13" s="10"/>
      <c r="S13" s="10"/>
    </row>
    <row r="14" spans="1:19" ht="11.25" customHeight="1" x14ac:dyDescent="0.25">
      <c r="A14" s="9"/>
      <c r="B14" s="25" t="s">
        <v>13</v>
      </c>
      <c r="C14" s="39">
        <v>4.0599999999999996</v>
      </c>
      <c r="D14" s="39">
        <v>80.8</v>
      </c>
      <c r="E14" s="39">
        <v>19.22</v>
      </c>
      <c r="F14" s="51">
        <v>35.42</v>
      </c>
      <c r="G14" s="51">
        <v>67.44</v>
      </c>
      <c r="H14" s="51">
        <v>57.13</v>
      </c>
      <c r="I14" s="51">
        <v>9.93</v>
      </c>
      <c r="J14" s="39">
        <v>1.83</v>
      </c>
      <c r="K14" s="51">
        <v>4.2300000000000004</v>
      </c>
      <c r="L14" s="39">
        <v>4.8600000000000003</v>
      </c>
      <c r="M14" s="39">
        <v>3.45</v>
      </c>
      <c r="N14" s="39">
        <v>3.67</v>
      </c>
      <c r="O14" s="39">
        <v>149.41999999999999</v>
      </c>
      <c r="P14" s="47">
        <v>137.54</v>
      </c>
      <c r="Q14" s="10"/>
      <c r="S14" s="10"/>
    </row>
    <row r="15" spans="1:19" ht="11.25" customHeight="1" x14ac:dyDescent="0.25">
      <c r="A15" s="9"/>
      <c r="B15" s="28" t="s">
        <v>14</v>
      </c>
      <c r="C15" s="40">
        <v>3.94</v>
      </c>
      <c r="D15" s="40">
        <v>99.88</v>
      </c>
      <c r="E15" s="40">
        <v>17.53</v>
      </c>
      <c r="F15" s="52">
        <v>35.78</v>
      </c>
      <c r="G15" s="52">
        <v>55.3</v>
      </c>
      <c r="H15" s="52">
        <v>32.869999999999997</v>
      </c>
      <c r="I15" s="52">
        <v>6.95</v>
      </c>
      <c r="J15" s="40">
        <v>1.79</v>
      </c>
      <c r="K15" s="52">
        <v>3.98</v>
      </c>
      <c r="L15" s="40">
        <v>4.47</v>
      </c>
      <c r="M15" s="40">
        <v>3.17</v>
      </c>
      <c r="N15" s="40">
        <v>3.28</v>
      </c>
      <c r="O15" s="40">
        <v>146.26</v>
      </c>
      <c r="P15" s="48">
        <v>135.24</v>
      </c>
      <c r="Q15" s="10"/>
      <c r="S15" s="10"/>
    </row>
    <row r="16" spans="1:19" ht="11.25" customHeight="1" x14ac:dyDescent="0.25">
      <c r="A16" s="9"/>
      <c r="B16" s="27" t="s">
        <v>15</v>
      </c>
      <c r="C16" s="37">
        <v>4.4000000000000004</v>
      </c>
      <c r="D16" s="37">
        <v>88.72</v>
      </c>
      <c r="E16" s="37">
        <v>18.170000000000002</v>
      </c>
      <c r="F16" s="49">
        <v>26.59</v>
      </c>
      <c r="G16" s="49">
        <v>89.3</v>
      </c>
      <c r="H16" s="49">
        <v>60</v>
      </c>
      <c r="I16" s="49">
        <v>10.99</v>
      </c>
      <c r="J16" s="37">
        <v>1.83</v>
      </c>
      <c r="K16" s="49">
        <v>4.32</v>
      </c>
      <c r="L16" s="37">
        <v>5.08</v>
      </c>
      <c r="M16" s="37">
        <v>3.45</v>
      </c>
      <c r="N16" s="37">
        <v>3.76</v>
      </c>
      <c r="O16" s="37">
        <v>145.09</v>
      </c>
      <c r="P16" s="45">
        <v>137.59</v>
      </c>
      <c r="Q16" s="10"/>
      <c r="S16" s="10"/>
    </row>
    <row r="17" spans="1:19" ht="11.25" customHeight="1" x14ac:dyDescent="0.25">
      <c r="A17" s="9"/>
      <c r="B17" s="26" t="s">
        <v>16</v>
      </c>
      <c r="C17" s="38">
        <v>4.22</v>
      </c>
      <c r="D17" s="38">
        <v>91.54</v>
      </c>
      <c r="E17" s="38">
        <v>18.670000000000002</v>
      </c>
      <c r="F17" s="50">
        <v>24.02</v>
      </c>
      <c r="G17" s="50">
        <v>88.54</v>
      </c>
      <c r="H17" s="50">
        <v>60</v>
      </c>
      <c r="I17" s="50">
        <v>10</v>
      </c>
      <c r="J17" s="38">
        <v>1.83</v>
      </c>
      <c r="K17" s="50">
        <v>4.09</v>
      </c>
      <c r="L17" s="38">
        <v>4.9800000000000004</v>
      </c>
      <c r="M17" s="38">
        <v>3.38</v>
      </c>
      <c r="N17" s="38">
        <v>3.41</v>
      </c>
      <c r="O17" s="38">
        <v>142.80000000000001</v>
      </c>
      <c r="P17" s="46">
        <v>133.44</v>
      </c>
      <c r="Q17" s="10"/>
      <c r="S17" s="10"/>
    </row>
    <row r="18" spans="1:19" ht="11.25" customHeight="1" x14ac:dyDescent="0.25">
      <c r="A18" s="9"/>
      <c r="B18" s="25" t="s">
        <v>17</v>
      </c>
      <c r="C18" s="39">
        <v>4.0199999999999996</v>
      </c>
      <c r="D18" s="39">
        <v>109.87</v>
      </c>
      <c r="E18" s="39">
        <v>19.11</v>
      </c>
      <c r="F18" s="51">
        <v>24.02</v>
      </c>
      <c r="G18" s="51">
        <v>76.36</v>
      </c>
      <c r="H18" s="51">
        <v>60.01</v>
      </c>
      <c r="I18" s="51">
        <v>7.72</v>
      </c>
      <c r="J18" s="39">
        <v>1.83</v>
      </c>
      <c r="K18" s="51">
        <v>4.0199999999999996</v>
      </c>
      <c r="L18" s="39">
        <v>4.8600000000000003</v>
      </c>
      <c r="M18" s="39">
        <v>3.31</v>
      </c>
      <c r="N18" s="39">
        <v>3.26</v>
      </c>
      <c r="O18" s="39">
        <v>142.86000000000001</v>
      </c>
      <c r="P18" s="47">
        <v>134.41999999999999</v>
      </c>
      <c r="Q18" s="10"/>
      <c r="S18" s="10"/>
    </row>
    <row r="19" spans="1:19" ht="11.25" customHeight="1" x14ac:dyDescent="0.25">
      <c r="A19" s="9"/>
      <c r="B19" s="28" t="s">
        <v>18</v>
      </c>
      <c r="C19" s="40">
        <v>3.99</v>
      </c>
      <c r="D19" s="40">
        <v>109.87</v>
      </c>
      <c r="E19" s="40">
        <v>19.149999999999999</v>
      </c>
      <c r="F19" s="52">
        <v>26.82</v>
      </c>
      <c r="G19" s="52">
        <v>73.3</v>
      </c>
      <c r="H19" s="52">
        <v>63.8</v>
      </c>
      <c r="I19" s="52">
        <v>7.73</v>
      </c>
      <c r="J19" s="40">
        <v>1.86</v>
      </c>
      <c r="K19" s="52">
        <v>3.83</v>
      </c>
      <c r="L19" s="40">
        <v>4.66</v>
      </c>
      <c r="M19" s="40">
        <v>3.29</v>
      </c>
      <c r="N19" s="40">
        <v>3.16</v>
      </c>
      <c r="O19" s="40">
        <v>144.38</v>
      </c>
      <c r="P19" s="48">
        <v>132.61000000000001</v>
      </c>
      <c r="Q19" s="10"/>
      <c r="S19" s="10"/>
    </row>
    <row r="20" spans="1:19" ht="11.25" customHeight="1" x14ac:dyDescent="0.25">
      <c r="A20" s="9"/>
      <c r="B20" s="27" t="s">
        <v>19</v>
      </c>
      <c r="C20" s="37">
        <v>3.99</v>
      </c>
      <c r="D20" s="37">
        <v>125.51</v>
      </c>
      <c r="E20" s="37">
        <v>21.39</v>
      </c>
      <c r="F20" s="49">
        <v>29.05</v>
      </c>
      <c r="G20" s="49">
        <v>79.8</v>
      </c>
      <c r="H20" s="49">
        <v>31.85</v>
      </c>
      <c r="I20" s="49">
        <v>11.71</v>
      </c>
      <c r="J20" s="37">
        <v>1.74</v>
      </c>
      <c r="K20" s="49">
        <v>3.99</v>
      </c>
      <c r="L20" s="37">
        <v>4.95</v>
      </c>
      <c r="M20" s="37">
        <v>3.06</v>
      </c>
      <c r="N20" s="37">
        <v>3.31</v>
      </c>
      <c r="O20" s="37">
        <v>139.13999999999999</v>
      </c>
      <c r="P20" s="45">
        <v>129.97</v>
      </c>
      <c r="Q20" s="10"/>
      <c r="S20" s="10"/>
    </row>
    <row r="21" spans="1:19" ht="11.25" customHeight="1" x14ac:dyDescent="0.25">
      <c r="A21" s="9"/>
      <c r="B21" s="26" t="s">
        <v>20</v>
      </c>
      <c r="C21" s="38">
        <v>4.01</v>
      </c>
      <c r="D21" s="38">
        <v>126.1</v>
      </c>
      <c r="E21" s="38">
        <v>21.92</v>
      </c>
      <c r="F21" s="50">
        <v>44.27</v>
      </c>
      <c r="G21" s="50">
        <v>87.48</v>
      </c>
      <c r="H21" s="50">
        <v>48.52</v>
      </c>
      <c r="I21" s="50">
        <v>10.26</v>
      </c>
      <c r="J21" s="38">
        <v>1.83</v>
      </c>
      <c r="K21" s="50">
        <v>3.68</v>
      </c>
      <c r="L21" s="38">
        <v>4.8899999999999997</v>
      </c>
      <c r="M21" s="38">
        <v>3.25</v>
      </c>
      <c r="N21" s="38">
        <v>3.09</v>
      </c>
      <c r="O21" s="38">
        <v>139.19</v>
      </c>
      <c r="P21" s="46">
        <v>130.68</v>
      </c>
      <c r="Q21" s="10"/>
      <c r="S21" s="10"/>
    </row>
    <row r="22" spans="1:19" ht="11.25" customHeight="1" x14ac:dyDescent="0.25">
      <c r="A22" s="9"/>
      <c r="B22" s="25" t="s">
        <v>21</v>
      </c>
      <c r="C22" s="39">
        <v>4.0599999999999996</v>
      </c>
      <c r="D22" s="39">
        <v>145.02000000000001</v>
      </c>
      <c r="E22" s="39">
        <v>22.49</v>
      </c>
      <c r="F22" s="51">
        <v>59.02</v>
      </c>
      <c r="G22" s="51">
        <v>87.13</v>
      </c>
      <c r="H22" s="51">
        <v>65.150000000000006</v>
      </c>
      <c r="I22" s="51">
        <v>8.26</v>
      </c>
      <c r="J22" s="39">
        <v>1.83</v>
      </c>
      <c r="K22" s="51">
        <v>3.64</v>
      </c>
      <c r="L22" s="39">
        <v>4.55</v>
      </c>
      <c r="M22" s="39">
        <v>3.23</v>
      </c>
      <c r="N22" s="39">
        <v>3.07</v>
      </c>
      <c r="O22" s="39">
        <v>141.15</v>
      </c>
      <c r="P22" s="47">
        <v>133.81</v>
      </c>
      <c r="Q22" s="10"/>
      <c r="S22" s="10"/>
    </row>
    <row r="23" spans="1:19" ht="11.25" customHeight="1" x14ac:dyDescent="0.25">
      <c r="A23" s="9"/>
      <c r="B23" s="28" t="s">
        <v>22</v>
      </c>
      <c r="C23" s="40">
        <v>4.29</v>
      </c>
      <c r="D23" s="40">
        <v>143.33000000000001</v>
      </c>
      <c r="E23" s="40">
        <v>22.37</v>
      </c>
      <c r="F23" s="52">
        <v>67.66</v>
      </c>
      <c r="G23" s="52">
        <v>86.4</v>
      </c>
      <c r="H23" s="52">
        <v>74.47</v>
      </c>
      <c r="I23" s="52">
        <v>10</v>
      </c>
      <c r="J23" s="40">
        <v>1.83</v>
      </c>
      <c r="K23" s="52">
        <v>3.57</v>
      </c>
      <c r="L23" s="40">
        <v>4.41</v>
      </c>
      <c r="M23" s="40">
        <v>3.36</v>
      </c>
      <c r="N23" s="40">
        <v>3.03</v>
      </c>
      <c r="O23" s="40">
        <v>141.41999999999999</v>
      </c>
      <c r="P23" s="48">
        <v>132.36000000000001</v>
      </c>
      <c r="Q23" s="10"/>
      <c r="S23" s="10"/>
    </row>
    <row r="24" spans="1:19" ht="11.25" customHeight="1" x14ac:dyDescent="0.25">
      <c r="A24" s="9"/>
      <c r="B24" s="27" t="s">
        <v>23</v>
      </c>
      <c r="C24" s="37">
        <v>4.0999999999999996</v>
      </c>
      <c r="D24" s="37">
        <v>156.13999999999999</v>
      </c>
      <c r="E24" s="37">
        <v>22.1</v>
      </c>
      <c r="F24" s="49">
        <v>20.51</v>
      </c>
      <c r="G24" s="49">
        <v>133.36000000000001</v>
      </c>
      <c r="H24" s="49">
        <v>24.08</v>
      </c>
      <c r="I24" s="49">
        <v>61.71</v>
      </c>
      <c r="J24" s="37">
        <v>1.83</v>
      </c>
      <c r="K24" s="49">
        <v>3.59</v>
      </c>
      <c r="L24" s="37">
        <v>4.72</v>
      </c>
      <c r="M24" s="37">
        <v>3.29</v>
      </c>
      <c r="N24" s="37">
        <v>2.95</v>
      </c>
      <c r="O24" s="37">
        <v>137.05000000000001</v>
      </c>
      <c r="P24" s="45">
        <v>138.19999999999999</v>
      </c>
      <c r="Q24" s="10"/>
      <c r="S24" s="10"/>
    </row>
    <row r="25" spans="1:19" ht="11.25" customHeight="1" x14ac:dyDescent="0.25">
      <c r="A25" s="9"/>
      <c r="B25" s="26" t="s">
        <v>24</v>
      </c>
      <c r="C25" s="38">
        <v>4.17</v>
      </c>
      <c r="D25" s="38">
        <v>160.07</v>
      </c>
      <c r="E25" s="38">
        <v>22.12</v>
      </c>
      <c r="F25" s="50">
        <v>24.01</v>
      </c>
      <c r="G25" s="50">
        <v>110.5</v>
      </c>
      <c r="H25" s="50">
        <v>28.19</v>
      </c>
      <c r="I25" s="50">
        <v>104.66</v>
      </c>
      <c r="J25" s="38">
        <v>1.83</v>
      </c>
      <c r="K25" s="50">
        <v>3.47</v>
      </c>
      <c r="L25" s="38">
        <v>4.8</v>
      </c>
      <c r="M25" s="38">
        <v>3.44</v>
      </c>
      <c r="N25" s="38">
        <v>2.83</v>
      </c>
      <c r="O25" s="38">
        <v>139.11000000000001</v>
      </c>
      <c r="P25" s="46">
        <v>143.06</v>
      </c>
      <c r="Q25" s="10"/>
      <c r="S25" s="10"/>
    </row>
    <row r="26" spans="1:19" ht="11.25" customHeight="1" x14ac:dyDescent="0.25">
      <c r="A26" s="9"/>
      <c r="B26" s="25" t="s">
        <v>25</v>
      </c>
      <c r="C26" s="39">
        <v>4.21</v>
      </c>
      <c r="D26" s="39">
        <v>80.48</v>
      </c>
      <c r="E26" s="39">
        <v>22.92</v>
      </c>
      <c r="F26" s="51">
        <v>43.33</v>
      </c>
      <c r="G26" s="51">
        <v>39.22</v>
      </c>
      <c r="H26" s="51">
        <v>99.83</v>
      </c>
      <c r="I26" s="51">
        <v>25.59</v>
      </c>
      <c r="J26" s="39">
        <v>1.86</v>
      </c>
      <c r="K26" s="51">
        <v>3.13</v>
      </c>
      <c r="L26" s="39">
        <v>4.9000000000000004</v>
      </c>
      <c r="M26" s="39">
        <v>3.7</v>
      </c>
      <c r="N26" s="39">
        <v>2.98</v>
      </c>
      <c r="O26" s="39">
        <v>139.52000000000001</v>
      </c>
      <c r="P26" s="47">
        <v>144.47</v>
      </c>
      <c r="Q26" s="10"/>
      <c r="S26" s="10"/>
    </row>
    <row r="27" spans="1:19" ht="11.25" customHeight="1" x14ac:dyDescent="0.25">
      <c r="A27" s="9"/>
      <c r="B27" s="28" t="s">
        <v>26</v>
      </c>
      <c r="C27" s="40">
        <v>4.17</v>
      </c>
      <c r="D27" s="40">
        <v>65.709999999999994</v>
      </c>
      <c r="E27" s="40">
        <v>23.29</v>
      </c>
      <c r="F27" s="52">
        <v>76.8</v>
      </c>
      <c r="G27" s="52">
        <v>39.86</v>
      </c>
      <c r="H27" s="52">
        <v>137.88999999999999</v>
      </c>
      <c r="I27" s="52">
        <v>28.02</v>
      </c>
      <c r="J27" s="40">
        <v>1.9</v>
      </c>
      <c r="K27" s="52">
        <v>3.27</v>
      </c>
      <c r="L27" s="40">
        <v>4.96</v>
      </c>
      <c r="M27" s="40">
        <v>4.7</v>
      </c>
      <c r="N27" s="40">
        <v>3.06</v>
      </c>
      <c r="O27" s="40">
        <v>145.78</v>
      </c>
      <c r="P27" s="48">
        <v>144.53</v>
      </c>
      <c r="Q27" s="10"/>
      <c r="S27" s="10"/>
    </row>
    <row r="28" spans="1:19" ht="11.25" customHeight="1" x14ac:dyDescent="0.25">
      <c r="A28" s="9"/>
      <c r="B28" s="27" t="s">
        <v>27</v>
      </c>
      <c r="C28" s="37">
        <v>4.29</v>
      </c>
      <c r="D28" s="37">
        <v>60.43</v>
      </c>
      <c r="E28" s="37">
        <v>21.11</v>
      </c>
      <c r="F28" s="49">
        <v>63.42</v>
      </c>
      <c r="G28" s="49">
        <v>59.11</v>
      </c>
      <c r="H28" s="49">
        <v>135.83000000000001</v>
      </c>
      <c r="I28" s="49">
        <v>7</v>
      </c>
      <c r="J28" s="37">
        <v>2</v>
      </c>
      <c r="K28" s="49">
        <v>2.83</v>
      </c>
      <c r="L28" s="37">
        <v>4.96</v>
      </c>
      <c r="M28" s="37">
        <v>4.93</v>
      </c>
      <c r="N28" s="37">
        <v>3.23</v>
      </c>
      <c r="O28" s="37">
        <v>144.62</v>
      </c>
      <c r="P28" s="45">
        <v>149.15</v>
      </c>
      <c r="Q28" s="10"/>
      <c r="S28" s="10"/>
    </row>
    <row r="29" spans="1:19" ht="11.25" customHeight="1" x14ac:dyDescent="0.25">
      <c r="A29" s="9"/>
      <c r="B29" s="26" t="s">
        <v>28</v>
      </c>
      <c r="C29" s="38">
        <v>4.68</v>
      </c>
      <c r="D29" s="38">
        <v>33.380000000000003</v>
      </c>
      <c r="E29" s="38">
        <v>22.45</v>
      </c>
      <c r="F29" s="50">
        <v>74.010000000000005</v>
      </c>
      <c r="G29" s="50">
        <v>66</v>
      </c>
      <c r="H29" s="50">
        <v>142.31</v>
      </c>
      <c r="I29" s="50">
        <v>7.5</v>
      </c>
      <c r="J29" s="38">
        <v>4.99</v>
      </c>
      <c r="K29" s="50">
        <v>3.02</v>
      </c>
      <c r="L29" s="38">
        <v>4.93</v>
      </c>
      <c r="M29" s="38">
        <v>5.82</v>
      </c>
      <c r="N29" s="38">
        <v>4.01</v>
      </c>
      <c r="O29" s="38">
        <v>149.41999999999999</v>
      </c>
      <c r="P29" s="46">
        <v>153.21</v>
      </c>
      <c r="Q29" s="10"/>
      <c r="S29" s="10"/>
    </row>
    <row r="30" spans="1:19" ht="11.25" customHeight="1" x14ac:dyDescent="0.25">
      <c r="A30" s="9"/>
      <c r="B30" s="25" t="s">
        <v>29</v>
      </c>
      <c r="C30" s="39">
        <v>4.92</v>
      </c>
      <c r="D30" s="39">
        <v>155.18</v>
      </c>
      <c r="E30" s="39">
        <v>23.82</v>
      </c>
      <c r="F30" s="51">
        <v>31.15</v>
      </c>
      <c r="G30" s="51">
        <v>75.47</v>
      </c>
      <c r="H30" s="51">
        <v>24.76</v>
      </c>
      <c r="I30" s="51">
        <v>49.99</v>
      </c>
      <c r="J30" s="39">
        <v>2.33</v>
      </c>
      <c r="K30" s="51">
        <v>3.05</v>
      </c>
      <c r="L30" s="39">
        <v>4.87</v>
      </c>
      <c r="M30" s="39">
        <v>6.62</v>
      </c>
      <c r="N30" s="39">
        <v>3.48</v>
      </c>
      <c r="O30" s="39">
        <v>159.83000000000001</v>
      </c>
      <c r="P30" s="47">
        <v>149.99</v>
      </c>
      <c r="Q30" s="10"/>
      <c r="S30" s="10"/>
    </row>
    <row r="31" spans="1:19" ht="11.25" customHeight="1" x14ac:dyDescent="0.25">
      <c r="A31" s="9"/>
      <c r="B31" s="28" t="s">
        <v>30</v>
      </c>
      <c r="C31" s="40">
        <v>5.01</v>
      </c>
      <c r="D31" s="40">
        <v>156</v>
      </c>
      <c r="E31" s="40">
        <v>24.97</v>
      </c>
      <c r="F31" s="52">
        <v>31.38</v>
      </c>
      <c r="G31" s="52">
        <v>87.56</v>
      </c>
      <c r="H31" s="52">
        <v>36.450000000000003</v>
      </c>
      <c r="I31" s="52">
        <v>30.56</v>
      </c>
      <c r="J31" s="40">
        <v>2.76</v>
      </c>
      <c r="K31" s="52">
        <v>3.28</v>
      </c>
      <c r="L31" s="40">
        <v>4.54</v>
      </c>
      <c r="M31" s="40">
        <v>6.72</v>
      </c>
      <c r="N31" s="40">
        <v>3.91</v>
      </c>
      <c r="O31" s="40">
        <v>162.01</v>
      </c>
      <c r="P31" s="48">
        <v>147.63999999999999</v>
      </c>
      <c r="Q31" s="10"/>
      <c r="S31" s="10"/>
    </row>
    <row r="32" spans="1:19" ht="11.25" customHeight="1" x14ac:dyDescent="0.25">
      <c r="A32" s="9"/>
      <c r="B32" s="27" t="s">
        <v>31</v>
      </c>
      <c r="C32" s="37">
        <v>4.92</v>
      </c>
      <c r="D32" s="37">
        <v>157.79</v>
      </c>
      <c r="E32" s="37">
        <v>23.99</v>
      </c>
      <c r="F32" s="49">
        <v>74.89</v>
      </c>
      <c r="G32" s="49">
        <v>75.959999999999994</v>
      </c>
      <c r="H32" s="49">
        <v>99.79</v>
      </c>
      <c r="I32" s="49">
        <v>9.7899999999999991</v>
      </c>
      <c r="J32" s="37">
        <v>4.99</v>
      </c>
      <c r="K32" s="49">
        <v>3.3</v>
      </c>
      <c r="L32" s="37">
        <v>5</v>
      </c>
      <c r="M32" s="37">
        <v>6.95</v>
      </c>
      <c r="N32" s="37">
        <v>5.34</v>
      </c>
      <c r="O32" s="37">
        <v>157.96</v>
      </c>
      <c r="P32" s="45">
        <v>163.19999999999999</v>
      </c>
      <c r="Q32" s="10"/>
      <c r="S32" s="10"/>
    </row>
    <row r="33" spans="1:19" ht="11.25" customHeight="1" x14ac:dyDescent="0.25">
      <c r="A33" s="9"/>
      <c r="B33" s="26" t="s">
        <v>32</v>
      </c>
      <c r="C33" s="38">
        <v>5.07</v>
      </c>
      <c r="D33" s="38">
        <v>116.14</v>
      </c>
      <c r="E33" s="38">
        <v>24.14</v>
      </c>
      <c r="F33" s="50">
        <v>27.66</v>
      </c>
      <c r="G33" s="50">
        <v>113.86</v>
      </c>
      <c r="H33" s="50">
        <v>57.66</v>
      </c>
      <c r="I33" s="50">
        <v>20</v>
      </c>
      <c r="J33" s="38">
        <v>4.08</v>
      </c>
      <c r="K33" s="50">
        <v>3.54</v>
      </c>
      <c r="L33" s="38">
        <v>4.55</v>
      </c>
      <c r="M33" s="38">
        <v>7.76</v>
      </c>
      <c r="N33" s="38">
        <v>5.88</v>
      </c>
      <c r="O33" s="38">
        <v>166.81</v>
      </c>
      <c r="P33" s="46">
        <v>160.53</v>
      </c>
      <c r="Q33" s="10"/>
      <c r="S33" s="10"/>
    </row>
    <row r="34" spans="1:19" ht="11.25" customHeight="1" x14ac:dyDescent="0.25">
      <c r="A34" s="9"/>
      <c r="B34" s="25" t="s">
        <v>33</v>
      </c>
      <c r="C34" s="39">
        <v>5.5</v>
      </c>
      <c r="D34" s="39">
        <v>32.56</v>
      </c>
      <c r="E34" s="39">
        <v>24.92</v>
      </c>
      <c r="F34" s="51">
        <v>30.01</v>
      </c>
      <c r="G34" s="51">
        <v>117.93</v>
      </c>
      <c r="H34" s="51">
        <v>55.66</v>
      </c>
      <c r="I34" s="51">
        <v>14</v>
      </c>
      <c r="J34" s="39">
        <v>4.3600000000000003</v>
      </c>
      <c r="K34" s="51">
        <v>3.59</v>
      </c>
      <c r="L34" s="39">
        <v>4.3899999999999997</v>
      </c>
      <c r="M34" s="39">
        <v>9.06</v>
      </c>
      <c r="N34" s="39">
        <v>5.91</v>
      </c>
      <c r="O34" s="39">
        <v>160.84</v>
      </c>
      <c r="P34" s="47">
        <v>159.19999999999999</v>
      </c>
      <c r="Q34" s="10"/>
      <c r="S34" s="10"/>
    </row>
    <row r="35" spans="1:19" ht="11.25" customHeight="1" x14ac:dyDescent="0.25">
      <c r="A35" s="9"/>
      <c r="B35" s="28" t="s">
        <v>34</v>
      </c>
      <c r="C35" s="40">
        <v>5.59</v>
      </c>
      <c r="D35" s="40">
        <v>27.76</v>
      </c>
      <c r="E35" s="40">
        <v>24.61</v>
      </c>
      <c r="F35" s="52">
        <v>34.270000000000003</v>
      </c>
      <c r="G35" s="52">
        <v>93.51</v>
      </c>
      <c r="H35" s="52">
        <v>58.91</v>
      </c>
      <c r="I35" s="52">
        <v>14.01</v>
      </c>
      <c r="J35" s="40">
        <v>5.0199999999999996</v>
      </c>
      <c r="K35" s="52">
        <v>3.53</v>
      </c>
      <c r="L35" s="40">
        <v>4.29</v>
      </c>
      <c r="M35" s="40">
        <v>9.89</v>
      </c>
      <c r="N35" s="40">
        <v>5.95</v>
      </c>
      <c r="O35" s="40">
        <v>159.28</v>
      </c>
      <c r="P35" s="48">
        <v>146.97</v>
      </c>
      <c r="Q35" s="10"/>
      <c r="S35" s="10"/>
    </row>
    <row r="36" spans="1:19" ht="11.25" customHeight="1" x14ac:dyDescent="0.25">
      <c r="A36" s="9"/>
      <c r="B36" s="27" t="s">
        <v>35</v>
      </c>
      <c r="C36" s="37">
        <v>5.77</v>
      </c>
      <c r="D36" s="37">
        <v>30.01</v>
      </c>
      <c r="E36" s="37">
        <v>25.19</v>
      </c>
      <c r="F36" s="49">
        <v>73.59</v>
      </c>
      <c r="G36" s="49">
        <v>94.03</v>
      </c>
      <c r="H36" s="49">
        <v>92.28</v>
      </c>
      <c r="I36" s="49">
        <v>16.07</v>
      </c>
      <c r="J36" s="37">
        <v>5</v>
      </c>
      <c r="K36" s="49">
        <v>4.1500000000000004</v>
      </c>
      <c r="L36" s="37">
        <v>5</v>
      </c>
      <c r="M36" s="37">
        <v>9.36</v>
      </c>
      <c r="N36" s="37">
        <v>6.98</v>
      </c>
      <c r="O36" s="37">
        <v>176.92</v>
      </c>
      <c r="P36" s="45">
        <v>152.80000000000001</v>
      </c>
      <c r="Q36" s="10"/>
      <c r="S36" s="10"/>
    </row>
    <row r="37" spans="1:19" ht="11.25" customHeight="1" x14ac:dyDescent="0.25">
      <c r="A37" s="9"/>
      <c r="B37" s="26" t="s">
        <v>36</v>
      </c>
      <c r="C37" s="38">
        <v>5.95</v>
      </c>
      <c r="D37" s="38">
        <v>27.48</v>
      </c>
      <c r="E37" s="38">
        <v>25.07</v>
      </c>
      <c r="F37" s="50">
        <v>61.16</v>
      </c>
      <c r="G37" s="50">
        <v>63.39</v>
      </c>
      <c r="H37" s="50">
        <v>81.819999999999993</v>
      </c>
      <c r="I37" s="50">
        <v>14.77</v>
      </c>
      <c r="J37" s="38">
        <v>5.37</v>
      </c>
      <c r="K37" s="50">
        <v>4</v>
      </c>
      <c r="L37" s="38">
        <v>4.99</v>
      </c>
      <c r="M37" s="38">
        <v>11.08</v>
      </c>
      <c r="N37" s="38">
        <v>6.4</v>
      </c>
      <c r="O37" s="38">
        <v>171.5</v>
      </c>
      <c r="P37" s="46">
        <v>142.38999999999999</v>
      </c>
      <c r="Q37" s="10"/>
      <c r="S37" s="10"/>
    </row>
    <row r="38" spans="1:19" ht="11.25" customHeight="1" x14ac:dyDescent="0.25">
      <c r="A38" s="9"/>
      <c r="B38" s="25" t="s">
        <v>37</v>
      </c>
      <c r="C38" s="39">
        <v>6.12</v>
      </c>
      <c r="D38" s="39">
        <v>26.42</v>
      </c>
      <c r="E38" s="39">
        <v>23.76</v>
      </c>
      <c r="F38" s="51">
        <v>30.47</v>
      </c>
      <c r="G38" s="51">
        <v>119.01</v>
      </c>
      <c r="H38" s="51">
        <v>60.01</v>
      </c>
      <c r="I38" s="51">
        <v>13.7</v>
      </c>
      <c r="J38" s="39">
        <v>5.37</v>
      </c>
      <c r="K38" s="51">
        <v>3.84</v>
      </c>
      <c r="L38" s="39">
        <v>4.99</v>
      </c>
      <c r="M38" s="39">
        <v>11.57</v>
      </c>
      <c r="N38" s="39">
        <v>6.18</v>
      </c>
      <c r="O38" s="39">
        <v>165.85</v>
      </c>
      <c r="P38" s="47">
        <v>133.01</v>
      </c>
      <c r="Q38" s="10"/>
      <c r="S38" s="10"/>
    </row>
    <row r="39" spans="1:19" ht="11.25" customHeight="1" x14ac:dyDescent="0.25">
      <c r="A39" s="9"/>
      <c r="B39" s="28" t="s">
        <v>38</v>
      </c>
      <c r="C39" s="40">
        <v>6.08</v>
      </c>
      <c r="D39" s="40">
        <v>25.47</v>
      </c>
      <c r="E39" s="40">
        <v>21.64</v>
      </c>
      <c r="F39" s="52">
        <v>30.48</v>
      </c>
      <c r="G39" s="52">
        <v>83.57</v>
      </c>
      <c r="H39" s="52">
        <v>52.45</v>
      </c>
      <c r="I39" s="52">
        <v>10.07</v>
      </c>
      <c r="J39" s="40">
        <v>5.15</v>
      </c>
      <c r="K39" s="52">
        <v>3.65</v>
      </c>
      <c r="L39" s="40">
        <v>4.9000000000000004</v>
      </c>
      <c r="M39" s="40">
        <v>12.3</v>
      </c>
      <c r="N39" s="40">
        <v>5.97</v>
      </c>
      <c r="O39" s="40">
        <v>151.32</v>
      </c>
      <c r="P39" s="48">
        <v>130.33000000000001</v>
      </c>
      <c r="Q39" s="10"/>
      <c r="S39" s="10"/>
    </row>
    <row r="40" spans="1:19" ht="11.25" customHeight="1" x14ac:dyDescent="0.25">
      <c r="A40" s="9"/>
      <c r="B40" s="27" t="s">
        <v>39</v>
      </c>
      <c r="C40" s="37">
        <v>6.11</v>
      </c>
      <c r="D40" s="37">
        <v>29.92</v>
      </c>
      <c r="E40" s="37">
        <v>26.99</v>
      </c>
      <c r="F40" s="49">
        <v>34.909999999999997</v>
      </c>
      <c r="G40" s="49">
        <v>142.94999999999999</v>
      </c>
      <c r="H40" s="49">
        <v>50.96</v>
      </c>
      <c r="I40" s="49">
        <v>17.2</v>
      </c>
      <c r="J40" s="37">
        <v>5.14</v>
      </c>
      <c r="K40" s="49">
        <v>3.94</v>
      </c>
      <c r="L40" s="37">
        <v>5</v>
      </c>
      <c r="M40" s="37">
        <v>13.08</v>
      </c>
      <c r="N40" s="37">
        <v>7.78</v>
      </c>
      <c r="O40" s="37">
        <v>175.49</v>
      </c>
      <c r="P40" s="45">
        <v>142.41999999999999</v>
      </c>
      <c r="Q40" s="10"/>
      <c r="S40" s="10"/>
    </row>
    <row r="41" spans="1:19" ht="11.25" customHeight="1" x14ac:dyDescent="0.25">
      <c r="A41" s="9"/>
      <c r="B41" s="26" t="s">
        <v>40</v>
      </c>
      <c r="C41" s="38">
        <v>5.98</v>
      </c>
      <c r="D41" s="38">
        <v>26.8</v>
      </c>
      <c r="E41" s="38">
        <v>24.05</v>
      </c>
      <c r="F41" s="50">
        <v>30.15</v>
      </c>
      <c r="G41" s="50">
        <v>109.88</v>
      </c>
      <c r="H41" s="50">
        <v>40.5</v>
      </c>
      <c r="I41" s="50">
        <v>14</v>
      </c>
      <c r="J41" s="38">
        <v>5</v>
      </c>
      <c r="K41" s="50">
        <v>3.34</v>
      </c>
      <c r="L41" s="38">
        <v>4.59</v>
      </c>
      <c r="M41" s="38">
        <v>12.23</v>
      </c>
      <c r="N41" s="38">
        <v>6.98</v>
      </c>
      <c r="O41" s="38">
        <v>160.13</v>
      </c>
      <c r="P41" s="46">
        <v>134.19</v>
      </c>
      <c r="Q41" s="10"/>
      <c r="S41" s="10"/>
    </row>
    <row r="42" spans="1:19" ht="11.25" customHeight="1" x14ac:dyDescent="0.25">
      <c r="A42" s="9"/>
      <c r="B42" s="25" t="s">
        <v>41</v>
      </c>
      <c r="C42" s="39">
        <v>5.65</v>
      </c>
      <c r="D42" s="39">
        <v>24.26</v>
      </c>
      <c r="E42" s="39">
        <v>21.27</v>
      </c>
      <c r="F42" s="51">
        <v>27.39</v>
      </c>
      <c r="G42" s="51">
        <v>57.57</v>
      </c>
      <c r="H42" s="51">
        <v>44.16</v>
      </c>
      <c r="I42" s="51">
        <v>10.01</v>
      </c>
      <c r="J42" s="39">
        <v>4.93</v>
      </c>
      <c r="K42" s="51">
        <v>2.87</v>
      </c>
      <c r="L42" s="39">
        <v>4.01</v>
      </c>
      <c r="M42" s="39">
        <v>12.05</v>
      </c>
      <c r="N42" s="39">
        <v>5.84</v>
      </c>
      <c r="O42" s="39">
        <v>146.82</v>
      </c>
      <c r="P42" s="47">
        <v>129.02000000000001</v>
      </c>
      <c r="Q42" s="10"/>
      <c r="S42" s="10"/>
    </row>
    <row r="43" spans="1:19" ht="11.25" customHeight="1" x14ac:dyDescent="0.25">
      <c r="A43" s="9"/>
      <c r="B43" s="28" t="s">
        <v>42</v>
      </c>
      <c r="C43" s="40">
        <v>5.52</v>
      </c>
      <c r="D43" s="40">
        <v>20.98</v>
      </c>
      <c r="E43" s="40">
        <v>19.989999999999998</v>
      </c>
      <c r="F43" s="52">
        <v>24.91</v>
      </c>
      <c r="G43" s="52">
        <v>29.6</v>
      </c>
      <c r="H43" s="52">
        <v>85.75</v>
      </c>
      <c r="I43" s="52">
        <v>6.95</v>
      </c>
      <c r="J43" s="40">
        <v>4.3</v>
      </c>
      <c r="K43" s="52">
        <v>2.84</v>
      </c>
      <c r="L43" s="40">
        <v>3.78</v>
      </c>
      <c r="M43" s="40">
        <v>10.67</v>
      </c>
      <c r="N43" s="40">
        <v>5.24</v>
      </c>
      <c r="O43" s="40">
        <v>130.85</v>
      </c>
      <c r="P43" s="48">
        <v>99.06</v>
      </c>
      <c r="Q43" s="10"/>
      <c r="S43" s="10"/>
    </row>
    <row r="44" spans="1:19" ht="11.25" customHeight="1" x14ac:dyDescent="0.25">
      <c r="A44" s="9"/>
      <c r="B44" s="27" t="s">
        <v>43</v>
      </c>
      <c r="C44" s="37">
        <v>5.6</v>
      </c>
      <c r="D44" s="37">
        <v>28.1</v>
      </c>
      <c r="E44" s="37">
        <v>26.91</v>
      </c>
      <c r="F44" s="49">
        <v>34.119999999999997</v>
      </c>
      <c r="G44" s="49">
        <v>35.619999999999997</v>
      </c>
      <c r="H44" s="49">
        <v>51.83</v>
      </c>
      <c r="I44" s="49">
        <v>12.91</v>
      </c>
      <c r="J44" s="37">
        <v>5.26</v>
      </c>
      <c r="K44" s="49">
        <v>2.88</v>
      </c>
      <c r="L44" s="37">
        <v>4.5599999999999996</v>
      </c>
      <c r="M44" s="37">
        <v>10</v>
      </c>
      <c r="N44" s="37">
        <v>5.24</v>
      </c>
      <c r="O44" s="37">
        <v>154.85</v>
      </c>
      <c r="P44" s="45">
        <v>119.73</v>
      </c>
      <c r="Q44" s="10"/>
      <c r="S44" s="10"/>
    </row>
    <row r="45" spans="1:19" ht="11.25" customHeight="1" x14ac:dyDescent="0.25">
      <c r="A45" s="9"/>
      <c r="B45" s="26" t="s">
        <v>44</v>
      </c>
      <c r="C45" s="38">
        <v>5.41</v>
      </c>
      <c r="D45" s="38">
        <v>26.25</v>
      </c>
      <c r="E45" s="38">
        <v>23.67</v>
      </c>
      <c r="F45" s="50">
        <v>29.97</v>
      </c>
      <c r="G45" s="50">
        <v>31.64</v>
      </c>
      <c r="H45" s="50">
        <v>38.700000000000003</v>
      </c>
      <c r="I45" s="50">
        <v>9.3699999999999992</v>
      </c>
      <c r="J45" s="38">
        <v>4.99</v>
      </c>
      <c r="K45" s="50">
        <v>2.88</v>
      </c>
      <c r="L45" s="38">
        <v>3.45</v>
      </c>
      <c r="M45" s="38">
        <v>9.6199999999999992</v>
      </c>
      <c r="N45" s="38">
        <v>4.29</v>
      </c>
      <c r="O45" s="38">
        <v>51.02</v>
      </c>
      <c r="P45" s="46">
        <v>80.02</v>
      </c>
      <c r="Q45" s="10"/>
      <c r="S45" s="10"/>
    </row>
    <row r="46" spans="1:19" ht="11.25" customHeight="1" x14ac:dyDescent="0.25">
      <c r="A46" s="9"/>
      <c r="B46" s="25" t="s">
        <v>45</v>
      </c>
      <c r="C46" s="39">
        <v>5.08</v>
      </c>
      <c r="D46" s="39">
        <v>23.68</v>
      </c>
      <c r="E46" s="39">
        <v>20.260000000000002</v>
      </c>
      <c r="F46" s="51">
        <v>25.02</v>
      </c>
      <c r="G46" s="51">
        <v>27.96</v>
      </c>
      <c r="H46" s="51">
        <v>30</v>
      </c>
      <c r="I46" s="51">
        <v>6.94</v>
      </c>
      <c r="J46" s="39">
        <v>4.1399999999999997</v>
      </c>
      <c r="K46" s="51">
        <v>2.8</v>
      </c>
      <c r="L46" s="39">
        <v>3.38</v>
      </c>
      <c r="M46" s="39">
        <v>8.02</v>
      </c>
      <c r="N46" s="39">
        <v>3.99</v>
      </c>
      <c r="O46" s="39">
        <v>27.03</v>
      </c>
      <c r="P46" s="47">
        <v>70.27</v>
      </c>
      <c r="Q46" s="10"/>
      <c r="S46" s="10"/>
    </row>
    <row r="47" spans="1:19" ht="11.25" customHeight="1" x14ac:dyDescent="0.25">
      <c r="A47" s="9"/>
      <c r="B47" s="28" t="s">
        <v>46</v>
      </c>
      <c r="C47" s="40">
        <v>4.99</v>
      </c>
      <c r="D47" s="40">
        <v>20.34</v>
      </c>
      <c r="E47" s="40">
        <v>10.26</v>
      </c>
      <c r="F47" s="52">
        <v>19.91</v>
      </c>
      <c r="G47" s="52">
        <v>22.96</v>
      </c>
      <c r="H47" s="52">
        <v>26.36</v>
      </c>
      <c r="I47" s="52">
        <v>5.56</v>
      </c>
      <c r="J47" s="40">
        <v>4.96</v>
      </c>
      <c r="K47" s="52">
        <v>2.78</v>
      </c>
      <c r="L47" s="40">
        <v>1.47</v>
      </c>
      <c r="M47" s="40">
        <v>7.57</v>
      </c>
      <c r="N47" s="40">
        <v>3.54</v>
      </c>
      <c r="O47" s="40">
        <v>20.04</v>
      </c>
      <c r="P47" s="48">
        <v>66.040000000000006</v>
      </c>
      <c r="Q47" s="10"/>
      <c r="S47" s="10"/>
    </row>
    <row r="48" spans="1:19" ht="11.25" customHeight="1" x14ac:dyDescent="0.25">
      <c r="A48" s="9"/>
      <c r="B48" s="27" t="s">
        <v>47</v>
      </c>
      <c r="C48" s="37">
        <v>5.03</v>
      </c>
      <c r="D48" s="37">
        <v>31.86</v>
      </c>
      <c r="E48" s="37">
        <v>11.84</v>
      </c>
      <c r="F48" s="49">
        <v>24.97</v>
      </c>
      <c r="G48" s="49">
        <v>30.92</v>
      </c>
      <c r="H48" s="49">
        <v>36.07</v>
      </c>
      <c r="I48" s="49">
        <v>9.73</v>
      </c>
      <c r="J48" s="37">
        <v>5.03</v>
      </c>
      <c r="K48" s="49">
        <v>3.72</v>
      </c>
      <c r="L48" s="37">
        <v>1.39</v>
      </c>
      <c r="M48" s="37">
        <v>8</v>
      </c>
      <c r="N48" s="37">
        <v>3.03</v>
      </c>
      <c r="O48" s="37">
        <v>27.99</v>
      </c>
      <c r="P48" s="45">
        <v>79.83</v>
      </c>
      <c r="Q48" s="10"/>
      <c r="S48" s="10"/>
    </row>
    <row r="49" spans="1:19" ht="11.25" customHeight="1" x14ac:dyDescent="0.25">
      <c r="A49" s="9"/>
      <c r="B49" s="26" t="s">
        <v>48</v>
      </c>
      <c r="C49" s="38">
        <v>5</v>
      </c>
      <c r="D49" s="38">
        <v>22.89</v>
      </c>
      <c r="E49" s="38">
        <v>8.9700000000000006</v>
      </c>
      <c r="F49" s="50">
        <v>21.02</v>
      </c>
      <c r="G49" s="50">
        <v>28.18</v>
      </c>
      <c r="H49" s="50">
        <v>30.31</v>
      </c>
      <c r="I49" s="50">
        <v>6.95</v>
      </c>
      <c r="J49" s="38">
        <v>4.92</v>
      </c>
      <c r="K49" s="50">
        <v>3.21</v>
      </c>
      <c r="L49" s="38">
        <v>0.93</v>
      </c>
      <c r="M49" s="38">
        <v>6.83</v>
      </c>
      <c r="N49" s="38">
        <v>2.88</v>
      </c>
      <c r="O49" s="38">
        <v>24.34</v>
      </c>
      <c r="P49" s="46">
        <v>70.67</v>
      </c>
      <c r="Q49" s="10"/>
      <c r="S49" s="10"/>
    </row>
    <row r="50" spans="1:19" ht="11.25" customHeight="1" x14ac:dyDescent="0.25">
      <c r="A50" s="9"/>
      <c r="B50" s="25" t="s">
        <v>49</v>
      </c>
      <c r="C50" s="39">
        <v>5</v>
      </c>
      <c r="D50" s="39">
        <v>28.28</v>
      </c>
      <c r="E50" s="39">
        <v>8.91</v>
      </c>
      <c r="F50" s="51">
        <v>21</v>
      </c>
      <c r="G50" s="51">
        <v>27.54</v>
      </c>
      <c r="H50" s="51">
        <v>32.36</v>
      </c>
      <c r="I50" s="51">
        <v>5.89</v>
      </c>
      <c r="J50" s="39">
        <v>4.1100000000000003</v>
      </c>
      <c r="K50" s="51">
        <v>1.57</v>
      </c>
      <c r="L50" s="39">
        <v>0.8</v>
      </c>
      <c r="M50" s="39">
        <v>6.74</v>
      </c>
      <c r="N50" s="39">
        <v>2.9</v>
      </c>
      <c r="O50" s="39">
        <v>29.32</v>
      </c>
      <c r="P50" s="47">
        <v>72.459999999999994</v>
      </c>
      <c r="Q50" s="10"/>
      <c r="S50" s="10"/>
    </row>
    <row r="51" spans="1:19" ht="11.25" customHeight="1" x14ac:dyDescent="0.25">
      <c r="A51" s="9"/>
      <c r="B51" s="28" t="s">
        <v>50</v>
      </c>
      <c r="C51" s="40">
        <v>4.99</v>
      </c>
      <c r="D51" s="40">
        <v>20.86</v>
      </c>
      <c r="E51" s="40">
        <v>8.3000000000000007</v>
      </c>
      <c r="F51" s="52">
        <v>18.25</v>
      </c>
      <c r="G51" s="52">
        <v>24.75</v>
      </c>
      <c r="H51" s="52">
        <v>18.809999999999999</v>
      </c>
      <c r="I51" s="52">
        <v>4.9400000000000004</v>
      </c>
      <c r="J51" s="40">
        <v>4.09</v>
      </c>
      <c r="K51" s="52">
        <v>1.22</v>
      </c>
      <c r="L51" s="40">
        <v>0.7</v>
      </c>
      <c r="M51" s="40">
        <v>6.71</v>
      </c>
      <c r="N51" s="40">
        <v>2.09</v>
      </c>
      <c r="O51" s="40">
        <v>25.75</v>
      </c>
      <c r="P51" s="48">
        <v>79</v>
      </c>
      <c r="Q51" s="10"/>
      <c r="S51" s="10"/>
    </row>
    <row r="52" spans="1:19" ht="11.25" customHeight="1" x14ac:dyDescent="0.25">
      <c r="A52" s="9"/>
      <c r="B52" s="27" t="s">
        <v>51</v>
      </c>
      <c r="C52" s="37">
        <v>5</v>
      </c>
      <c r="D52" s="37">
        <v>30.29</v>
      </c>
      <c r="E52" s="37">
        <v>6.83</v>
      </c>
      <c r="F52" s="49">
        <v>20.88</v>
      </c>
      <c r="G52" s="49">
        <v>30</v>
      </c>
      <c r="H52" s="49">
        <v>26.72</v>
      </c>
      <c r="I52" s="49">
        <v>4.91</v>
      </c>
      <c r="J52" s="37">
        <v>4.1900000000000004</v>
      </c>
      <c r="K52" s="49">
        <v>2.2000000000000002</v>
      </c>
      <c r="L52" s="37">
        <v>0.77</v>
      </c>
      <c r="M52" s="37">
        <v>7</v>
      </c>
      <c r="N52" s="37">
        <v>2.2599999999999998</v>
      </c>
      <c r="O52" s="37">
        <v>27.19</v>
      </c>
      <c r="P52" s="45">
        <v>98.76</v>
      </c>
      <c r="Q52" s="10"/>
      <c r="S52" s="10"/>
    </row>
    <row r="53" spans="1:19" ht="11.25" customHeight="1" x14ac:dyDescent="0.25">
      <c r="A53" s="9"/>
      <c r="B53" s="26" t="s">
        <v>52</v>
      </c>
      <c r="C53" s="38">
        <v>5</v>
      </c>
      <c r="D53" s="38">
        <v>24.55</v>
      </c>
      <c r="E53" s="38">
        <v>6.12</v>
      </c>
      <c r="F53" s="50">
        <v>19.11</v>
      </c>
      <c r="G53" s="50">
        <v>29.47</v>
      </c>
      <c r="H53" s="50">
        <v>22.48</v>
      </c>
      <c r="I53" s="50">
        <v>4.13</v>
      </c>
      <c r="J53" s="38">
        <v>4.99</v>
      </c>
      <c r="K53" s="50">
        <v>2.06</v>
      </c>
      <c r="L53" s="38">
        <v>0.67</v>
      </c>
      <c r="M53" s="38">
        <v>6.81</v>
      </c>
      <c r="N53" s="38">
        <v>1.93</v>
      </c>
      <c r="O53" s="38">
        <v>32.76</v>
      </c>
      <c r="P53" s="46">
        <v>67.78</v>
      </c>
      <c r="Q53" s="10"/>
      <c r="S53" s="10"/>
    </row>
    <row r="54" spans="1:19" ht="11.25" customHeight="1" x14ac:dyDescent="0.25">
      <c r="A54" s="9"/>
      <c r="B54" s="25" t="s">
        <v>53</v>
      </c>
      <c r="C54" s="39">
        <v>4.99</v>
      </c>
      <c r="D54" s="39">
        <v>27.39</v>
      </c>
      <c r="E54" s="39">
        <v>6.12</v>
      </c>
      <c r="F54" s="51">
        <v>19.239999999999998</v>
      </c>
      <c r="G54" s="51">
        <v>30.01</v>
      </c>
      <c r="H54" s="51">
        <v>21.98</v>
      </c>
      <c r="I54" s="51">
        <v>4.0999999999999996</v>
      </c>
      <c r="J54" s="39">
        <v>4.28</v>
      </c>
      <c r="K54" s="51">
        <v>2.06</v>
      </c>
      <c r="L54" s="39">
        <v>0.56999999999999995</v>
      </c>
      <c r="M54" s="39">
        <v>6.66</v>
      </c>
      <c r="N54" s="39">
        <v>1.92</v>
      </c>
      <c r="O54" s="39">
        <v>30.09</v>
      </c>
      <c r="P54" s="47">
        <v>54.11</v>
      </c>
      <c r="Q54" s="10"/>
      <c r="S54" s="10"/>
    </row>
    <row r="55" spans="1:19" ht="11.25" customHeight="1" x14ac:dyDescent="0.25">
      <c r="A55" s="9"/>
      <c r="B55" s="28" t="s">
        <v>54</v>
      </c>
      <c r="C55" s="40">
        <v>4.99</v>
      </c>
      <c r="D55" s="40">
        <v>23.48</v>
      </c>
      <c r="E55" s="40">
        <v>5.63</v>
      </c>
      <c r="F55" s="52">
        <v>16.88</v>
      </c>
      <c r="G55" s="52">
        <v>29.8</v>
      </c>
      <c r="H55" s="52">
        <v>20.48</v>
      </c>
      <c r="I55" s="52">
        <v>3.92</v>
      </c>
      <c r="J55" s="40">
        <v>5</v>
      </c>
      <c r="K55" s="52">
        <v>1.99</v>
      </c>
      <c r="L55" s="40">
        <v>0.5</v>
      </c>
      <c r="M55" s="40">
        <v>6.17</v>
      </c>
      <c r="N55" s="40">
        <v>1.87</v>
      </c>
      <c r="O55" s="40">
        <v>18.53</v>
      </c>
      <c r="P55" s="48">
        <v>46.67</v>
      </c>
      <c r="Q55" s="10"/>
      <c r="S55" s="10"/>
    </row>
    <row r="56" spans="1:19" ht="11.25" customHeight="1" x14ac:dyDescent="0.25">
      <c r="A56" s="9"/>
      <c r="B56" s="27" t="s">
        <v>55</v>
      </c>
      <c r="C56" s="37">
        <v>4.96</v>
      </c>
      <c r="D56" s="37">
        <v>28.5</v>
      </c>
      <c r="E56" s="37">
        <v>5.36</v>
      </c>
      <c r="F56" s="49">
        <v>25.56</v>
      </c>
      <c r="G56" s="49">
        <v>34.130000000000003</v>
      </c>
      <c r="H56" s="49">
        <v>24.09</v>
      </c>
      <c r="I56" s="49">
        <v>3.95</v>
      </c>
      <c r="J56" s="37">
        <v>4.3</v>
      </c>
      <c r="K56" s="49">
        <v>1.83</v>
      </c>
      <c r="L56" s="37">
        <v>7.0000000000000007E-2</v>
      </c>
      <c r="M56" s="37">
        <v>6.94</v>
      </c>
      <c r="N56" s="37">
        <v>1.78</v>
      </c>
      <c r="O56" s="37">
        <v>24.01</v>
      </c>
      <c r="P56" s="45">
        <v>53.87</v>
      </c>
      <c r="Q56" s="10"/>
      <c r="S56" s="10"/>
    </row>
    <row r="57" spans="1:19" ht="11.25" customHeight="1" x14ac:dyDescent="0.25">
      <c r="A57" s="9"/>
      <c r="B57" s="26" t="s">
        <v>56</v>
      </c>
      <c r="C57" s="38">
        <v>4.91</v>
      </c>
      <c r="D57" s="38">
        <v>18.940000000000001</v>
      </c>
      <c r="E57" s="38">
        <v>4.99</v>
      </c>
      <c r="F57" s="50">
        <v>20.2</v>
      </c>
      <c r="G57" s="50">
        <v>34.119999999999997</v>
      </c>
      <c r="H57" s="50">
        <v>21.28</v>
      </c>
      <c r="I57" s="50">
        <v>3.78</v>
      </c>
      <c r="J57" s="38">
        <v>4.13</v>
      </c>
      <c r="K57" s="50">
        <v>1.37</v>
      </c>
      <c r="L57" s="38">
        <v>0.01</v>
      </c>
      <c r="M57" s="38">
        <v>7.33</v>
      </c>
      <c r="N57" s="38">
        <v>1.56</v>
      </c>
      <c r="O57" s="38">
        <v>19.37</v>
      </c>
      <c r="P57" s="46">
        <v>49.19</v>
      </c>
      <c r="Q57" s="10"/>
      <c r="S57" s="10"/>
    </row>
    <row r="58" spans="1:19" ht="11.25" customHeight="1" x14ac:dyDescent="0.25">
      <c r="A58" s="9"/>
      <c r="B58" s="25" t="s">
        <v>57</v>
      </c>
      <c r="C58" s="39">
        <v>4.76</v>
      </c>
      <c r="D58" s="39">
        <v>13.42</v>
      </c>
      <c r="E58" s="39">
        <v>4.59</v>
      </c>
      <c r="F58" s="51">
        <v>18.66</v>
      </c>
      <c r="G58" s="51">
        <v>31.44</v>
      </c>
      <c r="H58" s="51">
        <v>19.989999999999998</v>
      </c>
      <c r="I58" s="51">
        <v>3.52</v>
      </c>
      <c r="J58" s="39">
        <v>4.09</v>
      </c>
      <c r="K58" s="51">
        <v>1.02</v>
      </c>
      <c r="L58" s="39">
        <v>0.01</v>
      </c>
      <c r="M58" s="39">
        <v>6.84</v>
      </c>
      <c r="N58" s="39">
        <v>1.46</v>
      </c>
      <c r="O58" s="39">
        <v>19.440000000000001</v>
      </c>
      <c r="P58" s="47">
        <v>54.99</v>
      </c>
      <c r="Q58" s="10"/>
      <c r="S58" s="10"/>
    </row>
    <row r="59" spans="1:19" ht="11.25" customHeight="1" x14ac:dyDescent="0.25">
      <c r="A59" s="9"/>
      <c r="B59" s="28" t="s">
        <v>58</v>
      </c>
      <c r="C59" s="40">
        <v>4.74</v>
      </c>
      <c r="D59" s="40">
        <v>8.82</v>
      </c>
      <c r="E59" s="40">
        <v>4.04</v>
      </c>
      <c r="F59" s="52">
        <v>15.24</v>
      </c>
      <c r="G59" s="52">
        <v>30.01</v>
      </c>
      <c r="H59" s="52">
        <v>20</v>
      </c>
      <c r="I59" s="52">
        <v>3.3</v>
      </c>
      <c r="J59" s="40">
        <v>4.0199999999999996</v>
      </c>
      <c r="K59" s="52">
        <v>0.96</v>
      </c>
      <c r="L59" s="40">
        <v>0</v>
      </c>
      <c r="M59" s="40">
        <v>7</v>
      </c>
      <c r="N59" s="40">
        <v>1.73</v>
      </c>
      <c r="O59" s="40">
        <v>19.53</v>
      </c>
      <c r="P59" s="48">
        <v>53.59</v>
      </c>
      <c r="Q59" s="10"/>
      <c r="S59" s="10"/>
    </row>
    <row r="60" spans="1:19" ht="11.25" customHeight="1" x14ac:dyDescent="0.25">
      <c r="A60" s="9"/>
      <c r="B60" s="27" t="s">
        <v>59</v>
      </c>
      <c r="C60" s="37">
        <v>4.8600000000000003</v>
      </c>
      <c r="D60" s="37">
        <v>10.09</v>
      </c>
      <c r="E60" s="37">
        <v>3.76</v>
      </c>
      <c r="F60" s="49">
        <v>18.96</v>
      </c>
      <c r="G60" s="49">
        <v>31.17</v>
      </c>
      <c r="H60" s="49">
        <v>21.25</v>
      </c>
      <c r="I60" s="49">
        <v>3.8</v>
      </c>
      <c r="J60" s="37">
        <v>4.03</v>
      </c>
      <c r="K60" s="49">
        <v>0.62</v>
      </c>
      <c r="L60" s="37">
        <v>0</v>
      </c>
      <c r="M60" s="37">
        <v>6.96</v>
      </c>
      <c r="N60" s="37">
        <v>1.5</v>
      </c>
      <c r="O60" s="37">
        <v>16.68</v>
      </c>
      <c r="P60" s="45">
        <v>58.27</v>
      </c>
      <c r="Q60" s="10"/>
      <c r="S60" s="10"/>
    </row>
    <row r="61" spans="1:19" ht="11.25" customHeight="1" x14ac:dyDescent="0.25">
      <c r="A61" s="9"/>
      <c r="B61" s="26" t="s">
        <v>60</v>
      </c>
      <c r="C61" s="38">
        <v>4.9800000000000004</v>
      </c>
      <c r="D61" s="38">
        <v>8.43</v>
      </c>
      <c r="E61" s="38">
        <v>3.09</v>
      </c>
      <c r="F61" s="50">
        <v>17.38</v>
      </c>
      <c r="G61" s="50">
        <v>31.23</v>
      </c>
      <c r="H61" s="50">
        <v>20</v>
      </c>
      <c r="I61" s="50">
        <v>2.54</v>
      </c>
      <c r="J61" s="38">
        <v>4.01</v>
      </c>
      <c r="K61" s="50">
        <v>0.55000000000000004</v>
      </c>
      <c r="L61" s="38">
        <v>0</v>
      </c>
      <c r="M61" s="38">
        <v>6.96</v>
      </c>
      <c r="N61" s="38">
        <v>1.5</v>
      </c>
      <c r="O61" s="38">
        <v>19.43</v>
      </c>
      <c r="P61" s="46">
        <v>51.19</v>
      </c>
      <c r="Q61" s="10"/>
      <c r="S61" s="10"/>
    </row>
    <row r="62" spans="1:19" ht="11.25" customHeight="1" x14ac:dyDescent="0.25">
      <c r="A62" s="9"/>
      <c r="B62" s="25" t="s">
        <v>61</v>
      </c>
      <c r="C62" s="39">
        <v>4.99</v>
      </c>
      <c r="D62" s="39">
        <v>7.86</v>
      </c>
      <c r="E62" s="39">
        <v>3</v>
      </c>
      <c r="F62" s="51">
        <v>14.01</v>
      </c>
      <c r="G62" s="51">
        <v>31.56</v>
      </c>
      <c r="H62" s="51">
        <v>19.79</v>
      </c>
      <c r="I62" s="51">
        <v>2.2000000000000002</v>
      </c>
      <c r="J62" s="39">
        <v>4</v>
      </c>
      <c r="K62" s="51">
        <v>0.53</v>
      </c>
      <c r="L62" s="39">
        <v>0</v>
      </c>
      <c r="M62" s="39">
        <v>6.95</v>
      </c>
      <c r="N62" s="39">
        <v>1.73</v>
      </c>
      <c r="O62" s="39">
        <v>18.71</v>
      </c>
      <c r="P62" s="47">
        <v>47.9</v>
      </c>
      <c r="Q62" s="10"/>
      <c r="S62" s="10"/>
    </row>
    <row r="63" spans="1:19" ht="11.25" customHeight="1" x14ac:dyDescent="0.25">
      <c r="A63" s="9"/>
      <c r="B63" s="28" t="s">
        <v>62</v>
      </c>
      <c r="C63" s="40">
        <v>5</v>
      </c>
      <c r="D63" s="40">
        <v>8.1999999999999993</v>
      </c>
      <c r="E63" s="40">
        <v>2.89</v>
      </c>
      <c r="F63" s="52">
        <v>14.6</v>
      </c>
      <c r="G63" s="52">
        <v>32.799999999999997</v>
      </c>
      <c r="H63" s="52">
        <v>20.21</v>
      </c>
      <c r="I63" s="52">
        <v>2.19</v>
      </c>
      <c r="J63" s="40">
        <v>4</v>
      </c>
      <c r="K63" s="52">
        <v>0.53</v>
      </c>
      <c r="L63" s="40">
        <v>0</v>
      </c>
      <c r="M63" s="40">
        <v>7.03</v>
      </c>
      <c r="N63" s="40">
        <v>1.73</v>
      </c>
      <c r="O63" s="40">
        <v>16.68</v>
      </c>
      <c r="P63" s="48">
        <v>41.82</v>
      </c>
      <c r="Q63" s="10"/>
      <c r="S63" s="10"/>
    </row>
    <row r="64" spans="1:19" ht="11.25" customHeight="1" x14ac:dyDescent="0.25">
      <c r="A64" s="9"/>
      <c r="B64" s="27" t="s">
        <v>63</v>
      </c>
      <c r="C64" s="37">
        <v>4.99</v>
      </c>
      <c r="D64" s="37">
        <v>6.97</v>
      </c>
      <c r="E64" s="37">
        <v>3.81</v>
      </c>
      <c r="F64" s="49">
        <v>13.84</v>
      </c>
      <c r="G64" s="49">
        <v>33.47</v>
      </c>
      <c r="H64" s="49">
        <v>21.61</v>
      </c>
      <c r="I64" s="49">
        <v>2.11</v>
      </c>
      <c r="J64" s="37">
        <v>3.97</v>
      </c>
      <c r="K64" s="49">
        <v>0.56000000000000005</v>
      </c>
      <c r="L64" s="37">
        <v>0</v>
      </c>
      <c r="M64" s="37">
        <v>6.96</v>
      </c>
      <c r="N64" s="37">
        <v>1.32</v>
      </c>
      <c r="O64" s="37">
        <v>18.29</v>
      </c>
      <c r="P64" s="45">
        <v>47.7</v>
      </c>
      <c r="Q64" s="10"/>
      <c r="S64" s="10"/>
    </row>
    <row r="65" spans="1:19" ht="11.25" customHeight="1" x14ac:dyDescent="0.25">
      <c r="A65" s="9"/>
      <c r="B65" s="26" t="s">
        <v>64</v>
      </c>
      <c r="C65" s="38">
        <v>5</v>
      </c>
      <c r="D65" s="38">
        <v>7</v>
      </c>
      <c r="E65" s="38">
        <v>3.69</v>
      </c>
      <c r="F65" s="50">
        <v>17.37</v>
      </c>
      <c r="G65" s="50">
        <v>35.33</v>
      </c>
      <c r="H65" s="50">
        <v>21.47</v>
      </c>
      <c r="I65" s="50">
        <v>3.81</v>
      </c>
      <c r="J65" s="38">
        <v>3.97</v>
      </c>
      <c r="K65" s="50">
        <v>0.56999999999999995</v>
      </c>
      <c r="L65" s="38">
        <v>0</v>
      </c>
      <c r="M65" s="38">
        <v>6.95</v>
      </c>
      <c r="N65" s="38">
        <v>1.43</v>
      </c>
      <c r="O65" s="38">
        <v>21.47</v>
      </c>
      <c r="P65" s="46">
        <v>46.49</v>
      </c>
      <c r="Q65" s="10"/>
      <c r="S65" s="10"/>
    </row>
    <row r="66" spans="1:19" ht="11.25" customHeight="1" x14ac:dyDescent="0.25">
      <c r="A66" s="9"/>
      <c r="B66" s="25" t="s">
        <v>65</v>
      </c>
      <c r="C66" s="39">
        <v>5</v>
      </c>
      <c r="D66" s="39">
        <v>7.62</v>
      </c>
      <c r="E66" s="39">
        <v>3.28</v>
      </c>
      <c r="F66" s="51">
        <v>19.510000000000002</v>
      </c>
      <c r="G66" s="51">
        <v>30.55</v>
      </c>
      <c r="H66" s="51">
        <v>18.12</v>
      </c>
      <c r="I66" s="51">
        <v>4.99</v>
      </c>
      <c r="J66" s="39">
        <v>3.96</v>
      </c>
      <c r="K66" s="51">
        <v>0.55000000000000004</v>
      </c>
      <c r="L66" s="39">
        <v>0</v>
      </c>
      <c r="M66" s="39">
        <v>6.99</v>
      </c>
      <c r="N66" s="39">
        <v>1.64</v>
      </c>
      <c r="O66" s="39">
        <v>26.62</v>
      </c>
      <c r="P66" s="47">
        <v>49.18</v>
      </c>
      <c r="Q66" s="10"/>
      <c r="S66" s="10"/>
    </row>
    <row r="67" spans="1:19" ht="11.25" customHeight="1" x14ac:dyDescent="0.25">
      <c r="A67" s="9"/>
      <c r="B67" s="28" t="s">
        <v>66</v>
      </c>
      <c r="C67" s="40">
        <v>5.01</v>
      </c>
      <c r="D67" s="40">
        <v>12.92</v>
      </c>
      <c r="E67" s="40">
        <v>3.13</v>
      </c>
      <c r="F67" s="52">
        <v>20.43</v>
      </c>
      <c r="G67" s="52">
        <v>31.71</v>
      </c>
      <c r="H67" s="52">
        <v>19.25</v>
      </c>
      <c r="I67" s="52">
        <v>5</v>
      </c>
      <c r="J67" s="40">
        <v>4</v>
      </c>
      <c r="K67" s="52">
        <v>0.59</v>
      </c>
      <c r="L67" s="40">
        <v>0.01</v>
      </c>
      <c r="M67" s="40">
        <v>7.64</v>
      </c>
      <c r="N67" s="40">
        <v>1.73</v>
      </c>
      <c r="O67" s="40">
        <v>25.85</v>
      </c>
      <c r="P67" s="48">
        <v>57.07</v>
      </c>
      <c r="Q67" s="10"/>
      <c r="S67" s="10"/>
    </row>
    <row r="68" spans="1:19" ht="11.25" customHeight="1" x14ac:dyDescent="0.25">
      <c r="A68" s="9"/>
      <c r="B68" s="27" t="s">
        <v>67</v>
      </c>
      <c r="C68" s="37">
        <v>4.95</v>
      </c>
      <c r="D68" s="37">
        <v>8.8000000000000007</v>
      </c>
      <c r="E68" s="37">
        <v>3.8</v>
      </c>
      <c r="F68" s="49">
        <v>18.68</v>
      </c>
      <c r="G68" s="49">
        <v>30</v>
      </c>
      <c r="H68" s="49">
        <v>19.23</v>
      </c>
      <c r="I68" s="49">
        <v>3.8</v>
      </c>
      <c r="J68" s="37">
        <v>3.99</v>
      </c>
      <c r="K68" s="49">
        <v>0.81</v>
      </c>
      <c r="L68" s="37">
        <v>0</v>
      </c>
      <c r="M68" s="37">
        <v>6.95</v>
      </c>
      <c r="N68" s="37">
        <v>1.37</v>
      </c>
      <c r="O68" s="37">
        <v>19.5</v>
      </c>
      <c r="P68" s="45">
        <v>50.54</v>
      </c>
      <c r="Q68" s="10"/>
      <c r="S68" s="10"/>
    </row>
    <row r="69" spans="1:19" ht="11.25" customHeight="1" x14ac:dyDescent="0.25">
      <c r="A69" s="9"/>
      <c r="B69" s="26" t="s">
        <v>68</v>
      </c>
      <c r="C69" s="38">
        <v>5</v>
      </c>
      <c r="D69" s="38">
        <v>11.99</v>
      </c>
      <c r="E69" s="38">
        <v>4.01</v>
      </c>
      <c r="F69" s="50">
        <v>22.87</v>
      </c>
      <c r="G69" s="50">
        <v>38.72</v>
      </c>
      <c r="H69" s="50">
        <v>21.16</v>
      </c>
      <c r="I69" s="50">
        <v>4.99</v>
      </c>
      <c r="J69" s="38">
        <v>4.0199999999999996</v>
      </c>
      <c r="K69" s="50">
        <v>0.97</v>
      </c>
      <c r="L69" s="38">
        <v>0.01</v>
      </c>
      <c r="M69" s="38">
        <v>7.57</v>
      </c>
      <c r="N69" s="38">
        <v>1.72</v>
      </c>
      <c r="O69" s="38">
        <v>28.09</v>
      </c>
      <c r="P69" s="46">
        <v>50.69</v>
      </c>
      <c r="Q69" s="10"/>
      <c r="S69" s="10"/>
    </row>
    <row r="70" spans="1:19" ht="11.25" customHeight="1" x14ac:dyDescent="0.25">
      <c r="A70" s="9"/>
      <c r="B70" s="25" t="s">
        <v>69</v>
      </c>
      <c r="C70" s="39">
        <v>5.24</v>
      </c>
      <c r="D70" s="39">
        <v>14</v>
      </c>
      <c r="E70" s="39">
        <v>4.87</v>
      </c>
      <c r="F70" s="51">
        <v>25.43</v>
      </c>
      <c r="G70" s="51">
        <v>36.200000000000003</v>
      </c>
      <c r="H70" s="51">
        <v>19.989999999999998</v>
      </c>
      <c r="I70" s="51">
        <v>5.86</v>
      </c>
      <c r="J70" s="39">
        <v>4.0999999999999996</v>
      </c>
      <c r="K70" s="51">
        <v>0.92</v>
      </c>
      <c r="L70" s="39">
        <v>0.01</v>
      </c>
      <c r="M70" s="39">
        <v>8.27</v>
      </c>
      <c r="N70" s="39">
        <v>1.72</v>
      </c>
      <c r="O70" s="39">
        <v>36.39</v>
      </c>
      <c r="P70" s="47">
        <v>60.06</v>
      </c>
      <c r="Q70" s="10"/>
      <c r="S70" s="10"/>
    </row>
    <row r="71" spans="1:19" ht="11.25" customHeight="1" x14ac:dyDescent="0.25">
      <c r="A71" s="9"/>
      <c r="B71" s="28" t="s">
        <v>70</v>
      </c>
      <c r="C71" s="40">
        <v>5.49</v>
      </c>
      <c r="D71" s="40">
        <v>19.16</v>
      </c>
      <c r="E71" s="40">
        <v>5.0999999999999996</v>
      </c>
      <c r="F71" s="52">
        <v>28.16</v>
      </c>
      <c r="G71" s="52">
        <v>50.64</v>
      </c>
      <c r="H71" s="52">
        <v>20.81</v>
      </c>
      <c r="I71" s="52">
        <v>4.99</v>
      </c>
      <c r="J71" s="40">
        <v>4.1500000000000004</v>
      </c>
      <c r="K71" s="52">
        <v>0.94</v>
      </c>
      <c r="L71" s="40">
        <v>0.04</v>
      </c>
      <c r="M71" s="40">
        <v>10.02</v>
      </c>
      <c r="N71" s="40">
        <v>1.9</v>
      </c>
      <c r="O71" s="40">
        <v>56.34</v>
      </c>
      <c r="P71" s="48">
        <v>77.819999999999993</v>
      </c>
      <c r="Q71" s="10"/>
      <c r="S71" s="10"/>
    </row>
    <row r="72" spans="1:19" ht="11.25" customHeight="1" x14ac:dyDescent="0.25">
      <c r="A72" s="9"/>
      <c r="B72" s="27" t="s">
        <v>71</v>
      </c>
      <c r="C72" s="37">
        <v>5.22</v>
      </c>
      <c r="D72" s="37">
        <v>14.01</v>
      </c>
      <c r="E72" s="37">
        <v>5.95</v>
      </c>
      <c r="F72" s="49">
        <v>19.09</v>
      </c>
      <c r="G72" s="49">
        <v>22.08</v>
      </c>
      <c r="H72" s="49">
        <v>14.37</v>
      </c>
      <c r="I72" s="49">
        <v>2.57</v>
      </c>
      <c r="J72" s="37">
        <v>3.67</v>
      </c>
      <c r="K72" s="49">
        <v>0.85</v>
      </c>
      <c r="L72" s="37">
        <v>0.01</v>
      </c>
      <c r="M72" s="37">
        <v>6.95</v>
      </c>
      <c r="N72" s="37">
        <v>1.96</v>
      </c>
      <c r="O72" s="37">
        <v>21.79</v>
      </c>
      <c r="P72" s="45">
        <v>58.14</v>
      </c>
      <c r="Q72" s="10"/>
      <c r="S72" s="10"/>
    </row>
    <row r="73" spans="1:19" ht="11.25" customHeight="1" x14ac:dyDescent="0.25">
      <c r="A73" s="9"/>
      <c r="B73" s="26" t="s">
        <v>72</v>
      </c>
      <c r="C73" s="38">
        <v>5.59</v>
      </c>
      <c r="D73" s="38">
        <v>48.3</v>
      </c>
      <c r="E73" s="38">
        <v>7.72</v>
      </c>
      <c r="F73" s="50">
        <v>24.18</v>
      </c>
      <c r="G73" s="50">
        <v>29.99</v>
      </c>
      <c r="H73" s="50">
        <v>16.54</v>
      </c>
      <c r="I73" s="50">
        <v>4.99</v>
      </c>
      <c r="J73" s="38">
        <v>3.91</v>
      </c>
      <c r="K73" s="50">
        <v>1.34</v>
      </c>
      <c r="L73" s="38">
        <v>0.64</v>
      </c>
      <c r="M73" s="38">
        <v>8.49</v>
      </c>
      <c r="N73" s="38">
        <v>3.56</v>
      </c>
      <c r="O73" s="38">
        <v>29.22</v>
      </c>
      <c r="P73" s="46">
        <v>71.680000000000007</v>
      </c>
      <c r="Q73" s="10"/>
      <c r="S73" s="10"/>
    </row>
    <row r="74" spans="1:19" ht="11.25" customHeight="1" x14ac:dyDescent="0.25">
      <c r="A74" s="9"/>
      <c r="B74" s="25" t="s">
        <v>73</v>
      </c>
      <c r="C74" s="39">
        <v>6.95</v>
      </c>
      <c r="D74" s="39">
        <v>26.5</v>
      </c>
      <c r="E74" s="39">
        <v>9.99</v>
      </c>
      <c r="F74" s="51">
        <v>27.89</v>
      </c>
      <c r="G74" s="51">
        <v>53.34</v>
      </c>
      <c r="H74" s="51">
        <v>20.12</v>
      </c>
      <c r="I74" s="51">
        <v>3.52</v>
      </c>
      <c r="J74" s="39">
        <v>4.26</v>
      </c>
      <c r="K74" s="51">
        <v>2.61</v>
      </c>
      <c r="L74" s="39">
        <v>1</v>
      </c>
      <c r="M74" s="39">
        <v>10.029999999999999</v>
      </c>
      <c r="N74" s="39">
        <v>4.1500000000000004</v>
      </c>
      <c r="O74" s="39">
        <v>54.99</v>
      </c>
      <c r="P74" s="47">
        <v>82.59</v>
      </c>
      <c r="Q74" s="10"/>
      <c r="S74" s="10"/>
    </row>
    <row r="75" spans="1:19" ht="11.25" customHeight="1" x14ac:dyDescent="0.25">
      <c r="A75" s="9"/>
      <c r="B75" s="28" t="s">
        <v>74</v>
      </c>
      <c r="C75" s="40">
        <v>14</v>
      </c>
      <c r="D75" s="40">
        <v>37.25</v>
      </c>
      <c r="E75" s="40">
        <v>16.37</v>
      </c>
      <c r="F75" s="52">
        <v>30.81</v>
      </c>
      <c r="G75" s="52">
        <v>61.08</v>
      </c>
      <c r="H75" s="52">
        <v>33.32</v>
      </c>
      <c r="I75" s="52">
        <v>4.0999999999999996</v>
      </c>
      <c r="J75" s="40">
        <v>5.03</v>
      </c>
      <c r="K75" s="52">
        <v>3.97</v>
      </c>
      <c r="L75" s="40">
        <v>1.9</v>
      </c>
      <c r="M75" s="40">
        <v>14.74</v>
      </c>
      <c r="N75" s="40">
        <v>5.17</v>
      </c>
      <c r="O75" s="40">
        <v>108.61</v>
      </c>
      <c r="P75" s="48">
        <v>117.46</v>
      </c>
      <c r="Q75" s="10"/>
      <c r="S75" s="10"/>
    </row>
    <row r="76" spans="1:19" ht="11.25" customHeight="1" x14ac:dyDescent="0.25">
      <c r="A76" s="9"/>
      <c r="B76" s="27" t="s">
        <v>75</v>
      </c>
      <c r="C76" s="37">
        <v>5.89</v>
      </c>
      <c r="D76" s="37">
        <v>22.9</v>
      </c>
      <c r="E76" s="37">
        <v>10.01</v>
      </c>
      <c r="F76" s="49">
        <v>22.71</v>
      </c>
      <c r="G76" s="49">
        <v>22.68</v>
      </c>
      <c r="H76" s="49">
        <v>14.73</v>
      </c>
      <c r="I76" s="49">
        <v>4.99</v>
      </c>
      <c r="J76" s="37">
        <v>4.16</v>
      </c>
      <c r="K76" s="49">
        <v>2.8</v>
      </c>
      <c r="L76" s="37">
        <v>1.93</v>
      </c>
      <c r="M76" s="37">
        <v>20</v>
      </c>
      <c r="N76" s="37">
        <v>5.29</v>
      </c>
      <c r="O76" s="37">
        <v>50.01</v>
      </c>
      <c r="P76" s="45">
        <v>125.07</v>
      </c>
      <c r="Q76" s="10"/>
      <c r="S76" s="10"/>
    </row>
    <row r="77" spans="1:19" ht="11.25" customHeight="1" x14ac:dyDescent="0.25">
      <c r="A77" s="9"/>
      <c r="B77" s="26" t="s">
        <v>76</v>
      </c>
      <c r="C77" s="38">
        <v>12.1</v>
      </c>
      <c r="D77" s="38">
        <v>117.1</v>
      </c>
      <c r="E77" s="38">
        <v>20.010000000000002</v>
      </c>
      <c r="F77" s="50">
        <v>77.489999999999995</v>
      </c>
      <c r="G77" s="50">
        <v>38.72</v>
      </c>
      <c r="H77" s="50">
        <v>28.58</v>
      </c>
      <c r="I77" s="50">
        <v>5.55</v>
      </c>
      <c r="J77" s="38">
        <v>5.27</v>
      </c>
      <c r="K77" s="50">
        <v>3.8</v>
      </c>
      <c r="L77" s="38">
        <v>2.2000000000000002</v>
      </c>
      <c r="M77" s="38">
        <v>87.28</v>
      </c>
      <c r="N77" s="38">
        <v>6.23</v>
      </c>
      <c r="O77" s="38">
        <v>131.47</v>
      </c>
      <c r="P77" s="46">
        <v>129.09</v>
      </c>
      <c r="Q77" s="10"/>
      <c r="S77" s="10"/>
    </row>
    <row r="78" spans="1:19" ht="11.25" customHeight="1" x14ac:dyDescent="0.25">
      <c r="A78" s="9"/>
      <c r="B78" s="25" t="s">
        <v>77</v>
      </c>
      <c r="C78" s="39">
        <v>24.64</v>
      </c>
      <c r="D78" s="39">
        <v>39</v>
      </c>
      <c r="E78" s="39">
        <v>27.58</v>
      </c>
      <c r="F78" s="51">
        <v>136.1</v>
      </c>
      <c r="G78" s="51">
        <v>58.98</v>
      </c>
      <c r="H78" s="51">
        <v>42.52</v>
      </c>
      <c r="I78" s="51">
        <v>7.27</v>
      </c>
      <c r="J78" s="39">
        <v>6.17</v>
      </c>
      <c r="K78" s="51">
        <v>5.52</v>
      </c>
      <c r="L78" s="39">
        <v>3.49</v>
      </c>
      <c r="M78" s="39">
        <v>20.52</v>
      </c>
      <c r="N78" s="39">
        <v>8.5299999999999994</v>
      </c>
      <c r="O78" s="39">
        <v>147.13999999999999</v>
      </c>
      <c r="P78" s="47">
        <v>139.52000000000001</v>
      </c>
      <c r="Q78" s="10"/>
      <c r="S78" s="10"/>
    </row>
    <row r="79" spans="1:19" ht="11.25" customHeight="1" x14ac:dyDescent="0.25">
      <c r="A79" s="9"/>
      <c r="B79" s="28" t="s">
        <v>78</v>
      </c>
      <c r="C79" s="40">
        <v>34.94</v>
      </c>
      <c r="D79" s="40">
        <v>61</v>
      </c>
      <c r="E79" s="40">
        <v>38.869999999999997</v>
      </c>
      <c r="F79" s="52">
        <v>154.30000000000001</v>
      </c>
      <c r="G79" s="52">
        <v>93.31</v>
      </c>
      <c r="H79" s="52">
        <v>143.84</v>
      </c>
      <c r="I79" s="52">
        <v>9.44</v>
      </c>
      <c r="J79" s="40">
        <v>7.73</v>
      </c>
      <c r="K79" s="52">
        <v>7.76</v>
      </c>
      <c r="L79" s="40">
        <v>4.99</v>
      </c>
      <c r="M79" s="40">
        <v>99.97</v>
      </c>
      <c r="N79" s="40">
        <v>14.75</v>
      </c>
      <c r="O79" s="40">
        <v>157.76</v>
      </c>
      <c r="P79" s="48">
        <v>147.21</v>
      </c>
      <c r="Q79" s="10"/>
      <c r="S79" s="10"/>
    </row>
    <row r="80" spans="1:19" ht="11.25" customHeight="1" x14ac:dyDescent="0.25">
      <c r="A80" s="9"/>
      <c r="B80" s="27" t="s">
        <v>79</v>
      </c>
      <c r="C80" s="37">
        <v>7.73</v>
      </c>
      <c r="D80" s="37">
        <v>20.27</v>
      </c>
      <c r="E80" s="37">
        <v>16.23</v>
      </c>
      <c r="F80" s="49">
        <v>147.87</v>
      </c>
      <c r="G80" s="49">
        <v>56.3</v>
      </c>
      <c r="H80" s="49">
        <v>57.38</v>
      </c>
      <c r="I80" s="49">
        <v>5.81</v>
      </c>
      <c r="J80" s="37">
        <v>6.17</v>
      </c>
      <c r="K80" s="49">
        <v>5.09</v>
      </c>
      <c r="L80" s="37">
        <v>4.09</v>
      </c>
      <c r="M80" s="37">
        <v>104.06</v>
      </c>
      <c r="N80" s="37">
        <v>10.029999999999999</v>
      </c>
      <c r="O80" s="37">
        <v>158.80000000000001</v>
      </c>
      <c r="P80" s="45">
        <v>155.11000000000001</v>
      </c>
      <c r="Q80" s="10"/>
      <c r="S80" s="10"/>
    </row>
    <row r="81" spans="1:19" ht="11.25" customHeight="1" x14ac:dyDescent="0.25">
      <c r="A81" s="9"/>
      <c r="B81" s="26" t="s">
        <v>80</v>
      </c>
      <c r="C81" s="38">
        <v>19.989999999999998</v>
      </c>
      <c r="D81" s="38">
        <v>32.72</v>
      </c>
      <c r="E81" s="38">
        <v>24.3</v>
      </c>
      <c r="F81" s="50">
        <v>154.54</v>
      </c>
      <c r="G81" s="50">
        <v>128.94999999999999</v>
      </c>
      <c r="H81" s="50">
        <v>113.55</v>
      </c>
      <c r="I81" s="50">
        <v>6.95</v>
      </c>
      <c r="J81" s="38">
        <v>11.01</v>
      </c>
      <c r="K81" s="50">
        <v>6.86</v>
      </c>
      <c r="L81" s="38">
        <v>5</v>
      </c>
      <c r="M81" s="38">
        <v>17.37</v>
      </c>
      <c r="N81" s="38">
        <v>50.01</v>
      </c>
      <c r="O81" s="38">
        <v>161.35</v>
      </c>
      <c r="P81" s="46">
        <v>160.21</v>
      </c>
      <c r="Q81" s="10"/>
      <c r="S81" s="10"/>
    </row>
    <row r="82" spans="1:19" ht="11.25" customHeight="1" x14ac:dyDescent="0.25">
      <c r="A82" s="9"/>
      <c r="B82" s="25" t="s">
        <v>81</v>
      </c>
      <c r="C82" s="39">
        <v>29.99</v>
      </c>
      <c r="D82" s="39">
        <v>87</v>
      </c>
      <c r="E82" s="39">
        <v>31.23</v>
      </c>
      <c r="F82" s="51">
        <v>163.37</v>
      </c>
      <c r="G82" s="51">
        <v>154</v>
      </c>
      <c r="H82" s="51">
        <v>117.29</v>
      </c>
      <c r="I82" s="51">
        <v>9.43</v>
      </c>
      <c r="J82" s="39">
        <v>38.17</v>
      </c>
      <c r="K82" s="51">
        <v>8.44</v>
      </c>
      <c r="L82" s="39">
        <v>149.99</v>
      </c>
      <c r="M82" s="39">
        <v>33.03</v>
      </c>
      <c r="N82" s="39">
        <v>30.79</v>
      </c>
      <c r="O82" s="39">
        <v>164.05</v>
      </c>
      <c r="P82" s="47">
        <v>199.57</v>
      </c>
      <c r="Q82" s="10"/>
      <c r="S82" s="10"/>
    </row>
    <row r="83" spans="1:19" ht="11.25" customHeight="1" x14ac:dyDescent="0.25">
      <c r="A83" s="9"/>
      <c r="B83" s="28" t="s">
        <v>82</v>
      </c>
      <c r="C83" s="40">
        <v>117.12</v>
      </c>
      <c r="D83" s="40">
        <v>100</v>
      </c>
      <c r="E83" s="40">
        <v>139.02000000000001</v>
      </c>
      <c r="F83" s="52">
        <v>173.23</v>
      </c>
      <c r="G83" s="52">
        <v>161.66999999999999</v>
      </c>
      <c r="H83" s="52">
        <v>165.16</v>
      </c>
      <c r="I83" s="52">
        <v>60.02</v>
      </c>
      <c r="J83" s="40">
        <v>51.9</v>
      </c>
      <c r="K83" s="52">
        <v>15.64</v>
      </c>
      <c r="L83" s="40">
        <v>176.48</v>
      </c>
      <c r="M83" s="40">
        <v>129.02000000000001</v>
      </c>
      <c r="N83" s="40">
        <v>95.77</v>
      </c>
      <c r="O83" s="40">
        <v>219.27</v>
      </c>
      <c r="P83" s="48">
        <v>244.45</v>
      </c>
      <c r="Q83" s="10"/>
      <c r="S83" s="10"/>
    </row>
    <row r="84" spans="1:19" ht="11.25" customHeight="1" x14ac:dyDescent="0.25">
      <c r="A84" s="9"/>
      <c r="B84" s="27" t="s">
        <v>83</v>
      </c>
      <c r="C84" s="37">
        <v>57.44</v>
      </c>
      <c r="D84" s="37">
        <v>50.08</v>
      </c>
      <c r="E84" s="37">
        <v>27.71</v>
      </c>
      <c r="F84" s="49">
        <v>172.81</v>
      </c>
      <c r="G84" s="49">
        <v>129.04</v>
      </c>
      <c r="H84" s="49">
        <v>135.05000000000001</v>
      </c>
      <c r="I84" s="49">
        <v>17.91</v>
      </c>
      <c r="J84" s="37">
        <v>11</v>
      </c>
      <c r="K84" s="49">
        <v>16.260000000000002</v>
      </c>
      <c r="L84" s="37">
        <v>13.69</v>
      </c>
      <c r="M84" s="37">
        <v>45</v>
      </c>
      <c r="N84" s="37">
        <v>100.82</v>
      </c>
      <c r="O84" s="37">
        <v>179.95</v>
      </c>
      <c r="P84" s="45">
        <v>229.16</v>
      </c>
      <c r="Q84" s="10"/>
      <c r="S84" s="10"/>
    </row>
    <row r="85" spans="1:19" ht="11.25" customHeight="1" x14ac:dyDescent="0.25">
      <c r="A85" s="9"/>
      <c r="B85" s="26" t="s">
        <v>84</v>
      </c>
      <c r="C85" s="38">
        <v>69.790000000000006</v>
      </c>
      <c r="D85" s="38">
        <v>105.26</v>
      </c>
      <c r="E85" s="38">
        <v>29.49</v>
      </c>
      <c r="F85" s="50">
        <v>179.42</v>
      </c>
      <c r="G85" s="50">
        <v>162.16</v>
      </c>
      <c r="H85" s="50">
        <v>157.12</v>
      </c>
      <c r="I85" s="50">
        <v>20.51</v>
      </c>
      <c r="J85" s="38">
        <v>22.68</v>
      </c>
      <c r="K85" s="50">
        <v>33.04</v>
      </c>
      <c r="L85" s="38">
        <v>50.01</v>
      </c>
      <c r="M85" s="38">
        <v>19.62</v>
      </c>
      <c r="N85" s="38">
        <v>148.91</v>
      </c>
      <c r="O85" s="38">
        <v>214.69</v>
      </c>
      <c r="P85" s="46">
        <v>200.1</v>
      </c>
      <c r="Q85" s="10"/>
      <c r="S85" s="10"/>
    </row>
    <row r="86" spans="1:19" ht="11.25" customHeight="1" x14ac:dyDescent="0.25">
      <c r="A86" s="9"/>
      <c r="B86" s="25" t="s">
        <v>85</v>
      </c>
      <c r="C86" s="39">
        <v>124.52</v>
      </c>
      <c r="D86" s="39">
        <v>113.25</v>
      </c>
      <c r="E86" s="39">
        <v>75.349999999999994</v>
      </c>
      <c r="F86" s="51">
        <v>186.4</v>
      </c>
      <c r="G86" s="51">
        <v>154.66999999999999</v>
      </c>
      <c r="H86" s="51">
        <v>164.71</v>
      </c>
      <c r="I86" s="51">
        <v>60.09</v>
      </c>
      <c r="J86" s="39">
        <v>66.84</v>
      </c>
      <c r="K86" s="51">
        <v>43.33</v>
      </c>
      <c r="L86" s="39">
        <v>178.02</v>
      </c>
      <c r="M86" s="39">
        <v>95.56</v>
      </c>
      <c r="N86" s="39">
        <v>160.61000000000001</v>
      </c>
      <c r="O86" s="39">
        <v>253.84</v>
      </c>
      <c r="P86" s="47">
        <v>305.04000000000002</v>
      </c>
      <c r="Q86" s="10"/>
      <c r="S86" s="10"/>
    </row>
    <row r="87" spans="1:19" ht="11.25" customHeight="1" x14ac:dyDescent="0.25">
      <c r="A87" s="9"/>
      <c r="B87" s="28" t="s">
        <v>86</v>
      </c>
      <c r="C87" s="40">
        <v>130.01</v>
      </c>
      <c r="D87" s="40">
        <v>56.3</v>
      </c>
      <c r="E87" s="40">
        <v>94.84</v>
      </c>
      <c r="F87" s="52">
        <v>193.83</v>
      </c>
      <c r="G87" s="52">
        <v>160</v>
      </c>
      <c r="H87" s="52">
        <v>165.48</v>
      </c>
      <c r="I87" s="52">
        <v>60.09</v>
      </c>
      <c r="J87" s="40">
        <v>81.56</v>
      </c>
      <c r="K87" s="52">
        <v>55.06</v>
      </c>
      <c r="L87" s="40">
        <v>192.08</v>
      </c>
      <c r="M87" s="40">
        <v>79.819999999999993</v>
      </c>
      <c r="N87" s="40">
        <v>170.34</v>
      </c>
      <c r="O87" s="40">
        <v>341.48</v>
      </c>
      <c r="P87" s="48">
        <v>310.88</v>
      </c>
      <c r="Q87" s="10"/>
      <c r="S87" s="10"/>
    </row>
    <row r="88" spans="1:19" ht="11.25" customHeight="1" x14ac:dyDescent="0.25">
      <c r="A88" s="9"/>
      <c r="B88" s="27" t="s">
        <v>87</v>
      </c>
      <c r="C88" s="37">
        <v>71.05</v>
      </c>
      <c r="D88" s="37">
        <v>60.22</v>
      </c>
      <c r="E88" s="37">
        <v>58.42</v>
      </c>
      <c r="F88" s="49">
        <v>179.95</v>
      </c>
      <c r="G88" s="49">
        <v>156.68</v>
      </c>
      <c r="H88" s="49">
        <v>162.9</v>
      </c>
      <c r="I88" s="49">
        <v>20</v>
      </c>
      <c r="J88" s="37">
        <v>20.52</v>
      </c>
      <c r="K88" s="49">
        <v>40.770000000000003</v>
      </c>
      <c r="L88" s="37">
        <v>168.01</v>
      </c>
      <c r="M88" s="37">
        <v>50</v>
      </c>
      <c r="N88" s="37">
        <v>165.84</v>
      </c>
      <c r="O88" s="37">
        <v>306.45999999999998</v>
      </c>
      <c r="P88" s="45">
        <v>324.44</v>
      </c>
      <c r="Q88" s="10"/>
      <c r="S88" s="10"/>
    </row>
    <row r="89" spans="1:19" ht="11.25" customHeight="1" x14ac:dyDescent="0.25">
      <c r="A89" s="9"/>
      <c r="B89" s="26" t="s">
        <v>88</v>
      </c>
      <c r="C89" s="38">
        <v>67.69</v>
      </c>
      <c r="D89" s="38">
        <v>60.82</v>
      </c>
      <c r="E89" s="38">
        <v>67.95</v>
      </c>
      <c r="F89" s="50">
        <v>181.38</v>
      </c>
      <c r="G89" s="50">
        <v>154</v>
      </c>
      <c r="H89" s="50">
        <v>160.22999999999999</v>
      </c>
      <c r="I89" s="50">
        <v>20.010000000000002</v>
      </c>
      <c r="J89" s="38">
        <v>30.16</v>
      </c>
      <c r="K89" s="50">
        <v>42.82</v>
      </c>
      <c r="L89" s="38">
        <v>166.09</v>
      </c>
      <c r="M89" s="38">
        <v>63.93</v>
      </c>
      <c r="N89" s="38">
        <v>165.33</v>
      </c>
      <c r="O89" s="38">
        <v>266.44</v>
      </c>
      <c r="P89" s="46">
        <v>196.42</v>
      </c>
      <c r="Q89" s="10"/>
      <c r="S89" s="10"/>
    </row>
    <row r="90" spans="1:19" ht="11.25" customHeight="1" x14ac:dyDescent="0.25">
      <c r="A90" s="9"/>
      <c r="B90" s="25" t="s">
        <v>89</v>
      </c>
      <c r="C90" s="39">
        <v>67.349999999999994</v>
      </c>
      <c r="D90" s="39">
        <v>100</v>
      </c>
      <c r="E90" s="39">
        <v>66.37</v>
      </c>
      <c r="F90" s="51">
        <v>180.39</v>
      </c>
      <c r="G90" s="51">
        <v>159.69999999999999</v>
      </c>
      <c r="H90" s="51">
        <v>157.37</v>
      </c>
      <c r="I90" s="51">
        <v>24.99</v>
      </c>
      <c r="J90" s="39">
        <v>46.54</v>
      </c>
      <c r="K90" s="51">
        <v>47.52</v>
      </c>
      <c r="L90" s="39">
        <v>149.99</v>
      </c>
      <c r="M90" s="39">
        <v>55</v>
      </c>
      <c r="N90" s="39">
        <v>166.17</v>
      </c>
      <c r="O90" s="39">
        <v>225.69</v>
      </c>
      <c r="P90" s="47">
        <v>200.75</v>
      </c>
      <c r="Q90" s="10"/>
      <c r="S90" s="10"/>
    </row>
    <row r="91" spans="1:19" ht="11.25" customHeight="1" x14ac:dyDescent="0.25">
      <c r="A91" s="9"/>
      <c r="B91" s="28" t="s">
        <v>90</v>
      </c>
      <c r="C91" s="40">
        <v>65.89</v>
      </c>
      <c r="D91" s="40">
        <v>100</v>
      </c>
      <c r="E91" s="40">
        <v>62.37</v>
      </c>
      <c r="F91" s="52">
        <v>179.59</v>
      </c>
      <c r="G91" s="52">
        <v>129.62</v>
      </c>
      <c r="H91" s="52">
        <v>140.99</v>
      </c>
      <c r="I91" s="52">
        <v>24.02</v>
      </c>
      <c r="J91" s="40">
        <v>44.11</v>
      </c>
      <c r="K91" s="52">
        <v>49.15</v>
      </c>
      <c r="L91" s="40">
        <v>108.61</v>
      </c>
      <c r="M91" s="40">
        <v>71.06</v>
      </c>
      <c r="N91" s="40">
        <v>167.35</v>
      </c>
      <c r="O91" s="40">
        <v>212.55</v>
      </c>
      <c r="P91" s="48">
        <v>196.78</v>
      </c>
      <c r="Q91" s="10"/>
      <c r="S91" s="10"/>
    </row>
    <row r="92" spans="1:19" ht="11.25" customHeight="1" x14ac:dyDescent="0.25">
      <c r="A92" s="9"/>
      <c r="B92" s="27" t="s">
        <v>91</v>
      </c>
      <c r="C92" s="37">
        <v>125.93</v>
      </c>
      <c r="D92" s="37">
        <v>60.6</v>
      </c>
      <c r="E92" s="37">
        <v>75.41</v>
      </c>
      <c r="F92" s="49">
        <v>181.88</v>
      </c>
      <c r="G92" s="49">
        <v>163.68</v>
      </c>
      <c r="H92" s="49">
        <v>154.91999999999999</v>
      </c>
      <c r="I92" s="49">
        <v>50</v>
      </c>
      <c r="J92" s="37">
        <v>68.67</v>
      </c>
      <c r="K92" s="49">
        <v>54.72</v>
      </c>
      <c r="L92" s="37">
        <v>175.23</v>
      </c>
      <c r="M92" s="37">
        <v>50.01</v>
      </c>
      <c r="N92" s="37">
        <v>164.69</v>
      </c>
      <c r="O92" s="37">
        <v>227.14</v>
      </c>
      <c r="P92" s="45">
        <v>222.9</v>
      </c>
      <c r="Q92" s="10"/>
      <c r="S92" s="10"/>
    </row>
    <row r="93" spans="1:19" ht="11.25" customHeight="1" x14ac:dyDescent="0.25">
      <c r="A93" s="9"/>
      <c r="B93" s="26" t="s">
        <v>92</v>
      </c>
      <c r="C93" s="38">
        <v>66.959999999999994</v>
      </c>
      <c r="D93" s="38">
        <v>85.63</v>
      </c>
      <c r="E93" s="38">
        <v>66.73</v>
      </c>
      <c r="F93" s="50">
        <v>180.96</v>
      </c>
      <c r="G93" s="50">
        <v>163.72999999999999</v>
      </c>
      <c r="H93" s="50">
        <v>109.3</v>
      </c>
      <c r="I93" s="50">
        <v>20</v>
      </c>
      <c r="J93" s="38">
        <v>61.39</v>
      </c>
      <c r="K93" s="50">
        <v>52.51</v>
      </c>
      <c r="L93" s="38">
        <v>149.99</v>
      </c>
      <c r="M93" s="38">
        <v>50</v>
      </c>
      <c r="N93" s="38">
        <v>165.45</v>
      </c>
      <c r="O93" s="38">
        <v>219.76</v>
      </c>
      <c r="P93" s="46">
        <v>199.17</v>
      </c>
      <c r="Q93" s="10"/>
      <c r="S93" s="10"/>
    </row>
    <row r="94" spans="1:19" ht="11.25" customHeight="1" x14ac:dyDescent="0.25">
      <c r="A94" s="9"/>
      <c r="B94" s="25" t="s">
        <v>93</v>
      </c>
      <c r="C94" s="39">
        <v>73.42</v>
      </c>
      <c r="D94" s="39">
        <v>73.569999999999993</v>
      </c>
      <c r="E94" s="39">
        <v>54.48</v>
      </c>
      <c r="F94" s="51">
        <v>177.73</v>
      </c>
      <c r="G94" s="51">
        <v>163.96</v>
      </c>
      <c r="H94" s="51">
        <v>74.42</v>
      </c>
      <c r="I94" s="51">
        <v>8.89</v>
      </c>
      <c r="J94" s="39">
        <v>21.98</v>
      </c>
      <c r="K94" s="51">
        <v>40.01</v>
      </c>
      <c r="L94" s="39">
        <v>58</v>
      </c>
      <c r="M94" s="39">
        <v>133.34</v>
      </c>
      <c r="N94" s="39">
        <v>163.1</v>
      </c>
      <c r="O94" s="39">
        <v>209.15</v>
      </c>
      <c r="P94" s="47">
        <v>202.52</v>
      </c>
      <c r="Q94" s="10"/>
      <c r="S94" s="10"/>
    </row>
    <row r="95" spans="1:19" ht="11.25" customHeight="1" x14ac:dyDescent="0.25">
      <c r="A95" s="9"/>
      <c r="B95" s="28" t="s">
        <v>94</v>
      </c>
      <c r="C95" s="40">
        <v>60.23</v>
      </c>
      <c r="D95" s="40">
        <v>60.49</v>
      </c>
      <c r="E95" s="40">
        <v>25</v>
      </c>
      <c r="F95" s="52">
        <v>173.77</v>
      </c>
      <c r="G95" s="52">
        <v>129.22999999999999</v>
      </c>
      <c r="H95" s="52">
        <v>63.53</v>
      </c>
      <c r="I95" s="52">
        <v>6.12</v>
      </c>
      <c r="J95" s="40">
        <v>33.549999999999997</v>
      </c>
      <c r="K95" s="52">
        <v>31.75</v>
      </c>
      <c r="L95" s="40">
        <v>11</v>
      </c>
      <c r="M95" s="40">
        <v>31.52</v>
      </c>
      <c r="N95" s="40">
        <v>164.35</v>
      </c>
      <c r="O95" s="40">
        <v>181.5</v>
      </c>
      <c r="P95" s="48">
        <v>173.34</v>
      </c>
      <c r="Q95" s="10"/>
      <c r="S95" s="10"/>
    </row>
    <row r="96" spans="1:19" ht="11.25" customHeight="1" x14ac:dyDescent="0.25">
      <c r="A96" s="9"/>
      <c r="B96" s="27" t="s">
        <v>95</v>
      </c>
      <c r="C96" s="37">
        <v>77.05</v>
      </c>
      <c r="D96" s="37">
        <v>126.09</v>
      </c>
      <c r="E96" s="37">
        <v>76</v>
      </c>
      <c r="F96" s="49">
        <v>176.52</v>
      </c>
      <c r="G96" s="49">
        <v>110.06</v>
      </c>
      <c r="H96" s="49">
        <v>199.82</v>
      </c>
      <c r="I96" s="49">
        <v>7.76</v>
      </c>
      <c r="J96" s="37">
        <v>50</v>
      </c>
      <c r="K96" s="49">
        <v>37.43</v>
      </c>
      <c r="L96" s="37">
        <v>174.05</v>
      </c>
      <c r="M96" s="37">
        <v>99.96</v>
      </c>
      <c r="N96" s="37">
        <v>162.16</v>
      </c>
      <c r="O96" s="37">
        <v>182.6</v>
      </c>
      <c r="P96" s="45">
        <v>153.65</v>
      </c>
      <c r="Q96" s="10"/>
      <c r="S96" s="10"/>
    </row>
    <row r="97" spans="1:19" ht="11.25" customHeight="1" x14ac:dyDescent="0.25">
      <c r="A97" s="9"/>
      <c r="B97" s="26" t="s">
        <v>96</v>
      </c>
      <c r="C97" s="38">
        <v>56.44</v>
      </c>
      <c r="D97" s="38">
        <v>99.94</v>
      </c>
      <c r="E97" s="38">
        <v>30.26</v>
      </c>
      <c r="F97" s="50">
        <v>166.21</v>
      </c>
      <c r="G97" s="50">
        <v>122.8</v>
      </c>
      <c r="H97" s="50">
        <v>117.92</v>
      </c>
      <c r="I97" s="50">
        <v>6.12</v>
      </c>
      <c r="J97" s="38">
        <v>29.52</v>
      </c>
      <c r="K97" s="50">
        <v>21.96</v>
      </c>
      <c r="L97" s="38">
        <v>108.6</v>
      </c>
      <c r="M97" s="38">
        <v>59.93</v>
      </c>
      <c r="N97" s="38">
        <v>161.43</v>
      </c>
      <c r="O97" s="38">
        <v>175.48</v>
      </c>
      <c r="P97" s="46">
        <v>160.88</v>
      </c>
      <c r="Q97" s="10"/>
      <c r="S97" s="10"/>
    </row>
    <row r="98" spans="1:19" ht="11.25" customHeight="1" x14ac:dyDescent="0.25">
      <c r="A98" s="9"/>
      <c r="B98" s="25" t="s">
        <v>97</v>
      </c>
      <c r="C98" s="39">
        <v>43.21</v>
      </c>
      <c r="D98" s="39">
        <v>67.87</v>
      </c>
      <c r="E98" s="39">
        <v>23.74</v>
      </c>
      <c r="F98" s="51">
        <v>169.36</v>
      </c>
      <c r="G98" s="51">
        <v>176.35</v>
      </c>
      <c r="H98" s="51">
        <v>61.75</v>
      </c>
      <c r="I98" s="51">
        <v>11.01</v>
      </c>
      <c r="J98" s="39">
        <v>20.51</v>
      </c>
      <c r="K98" s="51">
        <v>19.940000000000001</v>
      </c>
      <c r="L98" s="39">
        <v>7.7</v>
      </c>
      <c r="M98" s="39">
        <v>24.02</v>
      </c>
      <c r="N98" s="39">
        <v>158.22</v>
      </c>
      <c r="O98" s="39">
        <v>164.04</v>
      </c>
      <c r="P98" s="47">
        <v>165.52</v>
      </c>
      <c r="Q98" s="10"/>
      <c r="S98" s="10"/>
    </row>
    <row r="99" spans="1:19" ht="11.25" customHeight="1" x14ac:dyDescent="0.25">
      <c r="A99" s="9"/>
      <c r="B99" s="28" t="s">
        <v>98</v>
      </c>
      <c r="C99" s="40">
        <v>20.010000000000002</v>
      </c>
      <c r="D99" s="40">
        <v>15.13</v>
      </c>
      <c r="E99" s="40">
        <v>18.11</v>
      </c>
      <c r="F99" s="52">
        <v>154.12</v>
      </c>
      <c r="G99" s="52">
        <v>149.99</v>
      </c>
      <c r="H99" s="52">
        <v>20.51</v>
      </c>
      <c r="I99" s="52">
        <v>7.7</v>
      </c>
      <c r="J99" s="40">
        <v>13.7</v>
      </c>
      <c r="K99" s="52">
        <v>8.42</v>
      </c>
      <c r="L99" s="40">
        <v>5.78</v>
      </c>
      <c r="M99" s="40">
        <v>100.82</v>
      </c>
      <c r="N99" s="40">
        <v>120</v>
      </c>
      <c r="O99" s="40">
        <v>166.93</v>
      </c>
      <c r="P99" s="48">
        <v>170.92</v>
      </c>
      <c r="Q99" s="10"/>
      <c r="S99" s="10"/>
    </row>
    <row r="100" spans="1:19" ht="11.25" customHeight="1" x14ac:dyDescent="0.25">
      <c r="A100" s="9"/>
      <c r="B100" s="27" t="s">
        <v>99</v>
      </c>
      <c r="C100" s="37">
        <v>65</v>
      </c>
      <c r="D100" s="37">
        <v>119.51</v>
      </c>
      <c r="E100" s="37">
        <v>101.62</v>
      </c>
      <c r="F100" s="49">
        <v>158.72</v>
      </c>
      <c r="G100" s="49">
        <v>145.6</v>
      </c>
      <c r="H100" s="49">
        <v>157.57</v>
      </c>
      <c r="I100" s="49">
        <v>6.17</v>
      </c>
      <c r="J100" s="37">
        <v>27.18</v>
      </c>
      <c r="K100" s="49">
        <v>19.89</v>
      </c>
      <c r="L100" s="37">
        <v>6.16</v>
      </c>
      <c r="M100" s="37">
        <v>35.82</v>
      </c>
      <c r="N100" s="37">
        <v>165.59</v>
      </c>
      <c r="O100" s="37">
        <v>153.13</v>
      </c>
      <c r="P100" s="45">
        <v>152.32</v>
      </c>
      <c r="Q100" s="10"/>
      <c r="S100" s="10"/>
    </row>
    <row r="101" spans="1:19" ht="11.25" customHeight="1" x14ac:dyDescent="0.25">
      <c r="A101" s="9"/>
      <c r="B101" s="26" t="s">
        <v>100</v>
      </c>
      <c r="C101" s="38">
        <v>32.44</v>
      </c>
      <c r="D101" s="38">
        <v>81.93</v>
      </c>
      <c r="E101" s="38">
        <v>74</v>
      </c>
      <c r="F101" s="50">
        <v>149.76</v>
      </c>
      <c r="G101" s="50">
        <v>122.81</v>
      </c>
      <c r="H101" s="50">
        <v>109.31</v>
      </c>
      <c r="I101" s="50">
        <v>5.78</v>
      </c>
      <c r="J101" s="38">
        <v>19.010000000000002</v>
      </c>
      <c r="K101" s="50">
        <v>7.79</v>
      </c>
      <c r="L101" s="38">
        <v>3.84</v>
      </c>
      <c r="M101" s="38">
        <v>21.19</v>
      </c>
      <c r="N101" s="38">
        <v>154.5</v>
      </c>
      <c r="O101" s="38">
        <v>150.85</v>
      </c>
      <c r="P101" s="46">
        <v>138.21</v>
      </c>
      <c r="Q101" s="10"/>
      <c r="S101" s="10"/>
    </row>
    <row r="102" spans="1:19" ht="11.25" customHeight="1" x14ac:dyDescent="0.25">
      <c r="A102" s="9"/>
      <c r="B102" s="25" t="s">
        <v>101</v>
      </c>
      <c r="C102" s="39">
        <v>22.77</v>
      </c>
      <c r="D102" s="39">
        <v>24.99</v>
      </c>
      <c r="E102" s="39">
        <v>24.02</v>
      </c>
      <c r="F102" s="51">
        <v>145.08000000000001</v>
      </c>
      <c r="G102" s="51">
        <v>97.23</v>
      </c>
      <c r="H102" s="51">
        <v>52.58</v>
      </c>
      <c r="I102" s="51">
        <v>5.0999999999999996</v>
      </c>
      <c r="J102" s="39">
        <v>11.19</v>
      </c>
      <c r="K102" s="51">
        <v>7.7</v>
      </c>
      <c r="L102" s="39">
        <v>3.67</v>
      </c>
      <c r="M102" s="39">
        <v>7.79</v>
      </c>
      <c r="N102" s="39">
        <v>116.48</v>
      </c>
      <c r="O102" s="39">
        <v>151.15</v>
      </c>
      <c r="P102" s="47">
        <v>143.19999999999999</v>
      </c>
      <c r="Q102" s="10"/>
      <c r="S102" s="10"/>
    </row>
    <row r="103" spans="1:19" ht="11.25" customHeight="1" x14ac:dyDescent="0.25">
      <c r="B103" s="28" t="s">
        <v>102</v>
      </c>
      <c r="C103" s="40">
        <v>13.6</v>
      </c>
      <c r="D103" s="40">
        <v>13.53</v>
      </c>
      <c r="E103" s="40">
        <v>20.51</v>
      </c>
      <c r="F103" s="52">
        <v>134.72999999999999</v>
      </c>
      <c r="G103" s="52">
        <v>74.37</v>
      </c>
      <c r="H103" s="52">
        <v>20.52</v>
      </c>
      <c r="I103" s="52">
        <v>4.01</v>
      </c>
      <c r="J103" s="40">
        <v>7.69</v>
      </c>
      <c r="K103" s="52">
        <v>5.6</v>
      </c>
      <c r="L103" s="40">
        <v>3.41</v>
      </c>
      <c r="M103" s="40">
        <v>6.19</v>
      </c>
      <c r="N103" s="40">
        <v>99.41</v>
      </c>
      <c r="O103" s="40">
        <v>150.68</v>
      </c>
      <c r="P103" s="48">
        <v>143.19999999999999</v>
      </c>
      <c r="Q103" s="10"/>
      <c r="S103" s="10"/>
    </row>
    <row r="104" spans="1:19" ht="7.5" customHeight="1" x14ac:dyDescent="0.25">
      <c r="B104" s="11"/>
      <c r="C104" s="41"/>
      <c r="D104" s="41"/>
      <c r="E104" s="41"/>
      <c r="F104" s="42"/>
      <c r="G104" s="12"/>
      <c r="H104" s="12"/>
      <c r="I104" s="12"/>
      <c r="J104" s="12"/>
      <c r="K104" s="12"/>
      <c r="L104" s="12"/>
      <c r="M104" s="12"/>
      <c r="N104" s="12"/>
      <c r="O104" s="12"/>
      <c r="P104" s="12"/>
    </row>
    <row r="105" spans="1:19" ht="15" customHeight="1" x14ac:dyDescent="0.25">
      <c r="B105" s="32" t="s">
        <v>5</v>
      </c>
      <c r="C105" s="43">
        <f t="shared" ref="C105:P105" si="0">AVERAGE(C8:C103)</f>
        <v>19.912604166666672</v>
      </c>
      <c r="D105" s="43">
        <f t="shared" si="0"/>
        <v>56.935729166666675</v>
      </c>
      <c r="E105" s="43">
        <f t="shared" si="0"/>
        <v>29.414374999999989</v>
      </c>
      <c r="F105" s="43">
        <f t="shared" si="0"/>
        <v>69.154166666666669</v>
      </c>
      <c r="G105" s="43">
        <f t="shared" si="0"/>
        <v>80.939583333333346</v>
      </c>
      <c r="H105" s="43">
        <f t="shared" si="0"/>
        <v>65.693124999999995</v>
      </c>
      <c r="I105" s="43">
        <f t="shared" si="0"/>
        <v>13.952395833333332</v>
      </c>
      <c r="J105" s="43">
        <f t="shared" si="0"/>
        <v>11.167500000000002</v>
      </c>
      <c r="K105" s="43">
        <f t="shared" si="0"/>
        <v>9.3970833333333346</v>
      </c>
      <c r="L105" s="43">
        <f t="shared" si="0"/>
        <v>23.7221875</v>
      </c>
      <c r="M105" s="43">
        <f t="shared" si="0"/>
        <v>21.680104166666663</v>
      </c>
      <c r="N105" s="43">
        <f t="shared" si="0"/>
        <v>36.58874999999999</v>
      </c>
      <c r="O105" s="43">
        <f t="shared" si="0"/>
        <v>123.47395833333336</v>
      </c>
      <c r="P105" s="18">
        <f t="shared" si="0"/>
        <v>129.63614583333336</v>
      </c>
    </row>
    <row r="106" spans="1:19" ht="15" customHeight="1" x14ac:dyDescent="0.25">
      <c r="B106" s="31" t="s">
        <v>1</v>
      </c>
      <c r="C106" s="44">
        <f t="shared" ref="C106:P106" si="1">MAX(C8:C103)</f>
        <v>130.01</v>
      </c>
      <c r="D106" s="44">
        <f t="shared" si="1"/>
        <v>160.07</v>
      </c>
      <c r="E106" s="44">
        <f t="shared" si="1"/>
        <v>145.43</v>
      </c>
      <c r="F106" s="44">
        <f t="shared" si="1"/>
        <v>193.83</v>
      </c>
      <c r="G106" s="44">
        <f t="shared" si="1"/>
        <v>176.35</v>
      </c>
      <c r="H106" s="44">
        <f t="shared" si="1"/>
        <v>199.82</v>
      </c>
      <c r="I106" s="44">
        <f t="shared" si="1"/>
        <v>104.66</v>
      </c>
      <c r="J106" s="44">
        <f t="shared" si="1"/>
        <v>81.56</v>
      </c>
      <c r="K106" s="44">
        <f t="shared" si="1"/>
        <v>55.06</v>
      </c>
      <c r="L106" s="44">
        <f t="shared" si="1"/>
        <v>192.08</v>
      </c>
      <c r="M106" s="44">
        <f t="shared" si="1"/>
        <v>133.34</v>
      </c>
      <c r="N106" s="44">
        <f t="shared" si="1"/>
        <v>170.34</v>
      </c>
      <c r="O106" s="44">
        <f t="shared" si="1"/>
        <v>341.48</v>
      </c>
      <c r="P106" s="33">
        <f t="shared" si="1"/>
        <v>324.44</v>
      </c>
    </row>
    <row r="107" spans="1:19" ht="15" customHeight="1" x14ac:dyDescent="0.25">
      <c r="B107" s="31" t="s">
        <v>0</v>
      </c>
      <c r="C107" s="44">
        <f t="shared" ref="C107:K107" si="2">MIN(C8:C103)</f>
        <v>3.94</v>
      </c>
      <c r="D107" s="44">
        <f t="shared" si="2"/>
        <v>6.97</v>
      </c>
      <c r="E107" s="44">
        <f t="shared" si="2"/>
        <v>2.89</v>
      </c>
      <c r="F107" s="44">
        <f t="shared" si="2"/>
        <v>13.84</v>
      </c>
      <c r="G107" s="44">
        <f t="shared" si="2"/>
        <v>22.08</v>
      </c>
      <c r="H107" s="44">
        <f t="shared" si="2"/>
        <v>14.37</v>
      </c>
      <c r="I107" s="44">
        <f t="shared" si="2"/>
        <v>2.11</v>
      </c>
      <c r="J107" s="44">
        <f t="shared" si="2"/>
        <v>1.74</v>
      </c>
      <c r="K107" s="44">
        <f t="shared" si="2"/>
        <v>0.53</v>
      </c>
      <c r="L107" s="44">
        <f t="shared" ref="L107:P107" si="3">MIN(L8:L103)</f>
        <v>0</v>
      </c>
      <c r="M107" s="44">
        <f t="shared" si="3"/>
        <v>3.06</v>
      </c>
      <c r="N107" s="44">
        <f t="shared" si="3"/>
        <v>1.32</v>
      </c>
      <c r="O107" s="44">
        <f t="shared" si="3"/>
        <v>16.68</v>
      </c>
      <c r="P107" s="33">
        <f t="shared" si="3"/>
        <v>41.82</v>
      </c>
    </row>
    <row r="108" spans="1:19" ht="11.25" customHeight="1" x14ac:dyDescent="0.25">
      <c r="B108" s="1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</row>
    <row r="109" spans="1:19" ht="11.25" customHeight="1" x14ac:dyDescent="0.25">
      <c r="B109" s="1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</row>
    <row r="110" spans="1:19" ht="11.25" customHeight="1" x14ac:dyDescent="0.25">
      <c r="B110" s="1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</row>
    <row r="111" spans="1:19" ht="11.25" customHeight="1" x14ac:dyDescent="0.25">
      <c r="B111" s="1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</row>
    <row r="112" spans="1:19" ht="11.25" customHeight="1" x14ac:dyDescent="0.25">
      <c r="B112" s="1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</row>
    <row r="113" spans="1:16" x14ac:dyDescent="0.25"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</row>
    <row r="114" spans="1:16" x14ac:dyDescent="0.25"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spans="1:16" x14ac:dyDescent="0.25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spans="1:16" ht="12.75" customHeight="1" x14ac:dyDescent="0.25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spans="1:16" ht="12.75" customHeight="1" x14ac:dyDescent="0.25"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spans="1:16" ht="12.75" customHeight="1" x14ac:dyDescent="0.25"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spans="1:16" ht="12.75" customHeight="1" x14ac:dyDescent="0.25">
      <c r="B119" s="14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</row>
    <row r="120" spans="1:16" ht="12.75" customHeight="1" x14ac:dyDescent="0.25">
      <c r="A120" s="16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</row>
    <row r="121" spans="1:16" ht="12.75" customHeight="1" x14ac:dyDescent="0.25"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</row>
    <row r="122" spans="1:16" ht="13" x14ac:dyDescent="0.25">
      <c r="B122" s="17"/>
    </row>
    <row r="123" spans="1:16" ht="11.25" customHeight="1" x14ac:dyDescent="0.25"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</row>
    <row r="124" spans="1:16" ht="13" x14ac:dyDescent="0.25"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</row>
    <row r="125" spans="1:16" ht="12.75" customHeight="1" x14ac:dyDescent="0.25"/>
    <row r="126" spans="1:16" x14ac:dyDescent="0.25"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spans="1:16" x14ac:dyDescent="0.25"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 spans="1:16" x14ac:dyDescent="0.25"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</sheetData>
  <conditionalFormatting sqref="F4:F5">
    <cfRule type="expression" dxfId="2" priority="1">
      <formula>$F$4="fakts"</formula>
    </cfRule>
  </conditionalFormatting>
  <conditionalFormatting sqref="F8:F107">
    <cfRule type="expression" dxfId="1" priority="2">
      <formula>$F$4="fakts"</formula>
    </cfRule>
  </conditionalFormatting>
  <conditionalFormatting sqref="G8:G103">
    <cfRule type="expression" dxfId="0" priority="3" stopIfTrue="1">
      <formula>G8+#REF!+#REF!-97.3&gt;0</formula>
    </cfRule>
  </conditionalFormatting>
  <pageMargins left="0.55118110236220474" right="0.55118110236220474" top="0.55118110236220474" bottom="0.55118110236220474" header="0.51181102362204722" footer="0.51181102362204722"/>
  <pageSetup paperSize="9" scale="65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CDA98F004A9A4E8625FEEA65CB592A" ma:contentTypeVersion="9" ma:contentTypeDescription="Create a new document." ma:contentTypeScope="" ma:versionID="850d51009ccca288415a0ac8a16d69ea">
  <xsd:schema xmlns:xsd="http://www.w3.org/2001/XMLSchema" xmlns:xs="http://www.w3.org/2001/XMLSchema" xmlns:p="http://schemas.microsoft.com/office/2006/metadata/properties" xmlns:ns2="fba271c9-7eb7-44b2-b251-6b3201c5eaa7" targetNamespace="http://schemas.microsoft.com/office/2006/metadata/properties" ma:root="true" ma:fieldsID="78cc7ed6f755dbc61650795709b5ad12" ns2:_="">
    <xsd:import namespace="fba271c9-7eb7-44b2-b251-6b3201c5e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271c9-7eb7-44b2-b251-6b3201c5e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70fb89-daf4-42bf-b7d3-277b4e01f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a271c9-7eb7-44b2-b251-6b3201c5ea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2A4D52-0AB3-4CAA-8B83-B281CC05F71A}"/>
</file>

<file path=customXml/itemProps2.xml><?xml version="1.0" encoding="utf-8"?>
<ds:datastoreItem xmlns:ds="http://schemas.openxmlformats.org/officeDocument/2006/customXml" ds:itemID="{EE811A18-A51B-4AD6-975E-064514E20FE6}"/>
</file>

<file path=customXml/itemProps3.xml><?xml version="1.0" encoding="utf-8"?>
<ds:datastoreItem xmlns:ds="http://schemas.openxmlformats.org/officeDocument/2006/customXml" ds:itemID="{ED2AA577-D7F9-45B0-9BBF-12223A77DB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NPS LV</vt:lpstr>
      <vt:lpstr>'NPS LV'!Print_Area</vt:lpstr>
    </vt:vector>
  </TitlesOfParts>
  <Manager>Guntis Lūsis</Manager>
  <Company>LATVENERGO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Tirdzniecības Plāns</dc:title>
  <dc:creator>LATVENERGO</dc:creator>
  <cp:lastModifiedBy>Kristīne Reksne</cp:lastModifiedBy>
  <cp:lastPrinted>2015-07-22T08:33:47Z</cp:lastPrinted>
  <dcterms:created xsi:type="dcterms:W3CDTF">2007-01-03T06:19:54Z</dcterms:created>
  <dcterms:modified xsi:type="dcterms:W3CDTF">2026-08-13T09:11:20Z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0x0101006ACDA98F004A9A4E8625FEEA65CB592A</vt:lpwstr>
  </property>
</Properties>
</file>